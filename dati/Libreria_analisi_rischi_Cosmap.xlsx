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4.xml.rels" ContentType="application/vnd.openxmlformats-package.relationship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Leggimi" sheetId="1" state="visible" r:id="rId3"/>
    <sheet name="Libreria" sheetId="2" state="visible" r:id="rId4"/>
    <sheet name="Moduli" sheetId="3" state="visible" r:id="rId5"/>
    <sheet name="RESS-Regolamento" sheetId="4" state="visible" r:id="rId6"/>
    <sheet name="Norme" sheetId="5" state="visible" r:id="rId7"/>
    <sheet name="Punti aperti" sheetId="6" state="visible" r:id="rId8"/>
    <sheet name="Metodo" sheetId="7" state="visible" r:id="rId9"/>
  </sheets>
  <definedNames>
    <definedName function="false" hidden="true" localSheetId="1" name="_xlnm._FilterDatabase" vbProcedure="false">Libreria!$A$1:$Z$79</definedName>
    <definedName function="false" hidden="true" localSheetId="3" name="_xlnm._FilterDatabase" vbProcedure="false">'RESS-Regolamento'!$A$1:$G$64</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<sst xmlns="http://schemas.openxmlformats.org/spreadsheetml/2006/main" count="1511" uniqueCount="722">
  <si>
    <t xml:space="preserve">Libreria analisi dei rischi – prima estrazione</t>
  </si>
  <si>
    <t xml:space="preserve">Origine: Valutazione dei rischi 200741V rev. 0.0 del 22.05.2020, Impianto di smerigliatura e lucidatura rubinetteria mod. 3 IR 50/6 USNR + TR 5/4 CNC (versioni PDF "aggiornata" di relazione introduttiva e schede RESS).</t>
  </si>
  <si>
    <t xml:space="preserve">I testi sono estratti in automatico dal PDF: prima di riusarli vanno riletti. Immagini e figure non sono riportate.</t>
  </si>
  <si>
    <t xml:space="preserve">Fogli</t>
  </si>
  <si>
    <t xml:space="preserve">Libreria – una riga per ogni scheda di valutazione (78), con zona, modulo, pericoli, stime, misure, testo per le istruzioni e norme.</t>
  </si>
  <si>
    <t xml:space="preserve">Moduli – i moduli ricavati dalle schede, con il conteggio delle righe.</t>
  </si>
  <si>
    <t xml:space="preserve">RESS-Regolamento – tutti i requisiti della parte 1 dell'Allegato I della Direttiva, se sono trattati nel documento e a quale punto dell'Allegato III del Regolamento (UE) 2023/1230 corrispondono.</t>
  </si>
  <si>
    <t xml:space="preserve">Norme – le norme citate nella relazione e le edizioni più recenti a me note.</t>
  </si>
  <si>
    <t xml:space="preserve">Punti aperti – le decisioni da prendere prima di usare la libreria per le nuove commesse.</t>
  </si>
  <si>
    <t xml:space="preserve">Metodo – matrice e scale del metodo di stima, usate dalle formule.</t>
  </si>
  <si>
    <t xml:space="preserve">Come si usa</t>
  </si>
  <si>
    <t xml:space="preserve">Celle gialle: sono quelle da compilare o rivedere (condizione di attivazione, note di revisione, decisioni).</t>
  </si>
  <si>
    <t xml:space="preserve">Le colonne Se, Fr, Pr, Av si possono modificare: classe (Cl) ed esito si ricalcolano dalla matrice del foglio Metodo.</t>
  </si>
  <si>
    <t xml:space="preserve">La colonna "Modulo" è una mia proposta di assegnazione: correggila dove non corrisponde a come ragionate in ufficio tecnico.</t>
  </si>
  <si>
    <t xml:space="preserve">La colonna "Novità del Regolamento" è una sintesi: prima di usarla in un fascicolo va confrontata con il testo ufficiale del Regolamento.</t>
  </si>
  <si>
    <t xml:space="preserve">ID</t>
  </si>
  <si>
    <t xml:space="preserve">RESS 2006/42/CE</t>
  </si>
  <si>
    <t xml:space="preserve">Titolo requisito</t>
  </si>
  <si>
    <t xml:space="preserve">Scheda originale</t>
  </si>
  <si>
    <t xml:space="preserve">Zona impianto</t>
  </si>
  <si>
    <t xml:space="preserve">Modulo</t>
  </si>
  <si>
    <t xml:space="preserve">Condizione di attivazione (da rivedere)</t>
  </si>
  <si>
    <t xml:space="preserve">Zona pericolosa</t>
  </si>
  <si>
    <t xml:space="preserve">Condizioni operative</t>
  </si>
  <si>
    <t xml:space="preserve">Pericoli</t>
  </si>
  <si>
    <t xml:space="preserve">Se iniz.</t>
  </si>
  <si>
    <t xml:space="preserve">Fr iniz.</t>
  </si>
  <si>
    <t xml:space="preserve">Pr iniz.</t>
  </si>
  <si>
    <t xml:space="preserve">Av iniz.</t>
  </si>
  <si>
    <t xml:space="preserve">Cl iniz.</t>
  </si>
  <si>
    <t xml:space="preserve">Esito iniziale</t>
  </si>
  <si>
    <t xml:space="preserve">Misure di protezione</t>
  </si>
  <si>
    <t xml:space="preserve">Indicazioni per le istruzioni / rischio residuo</t>
  </si>
  <si>
    <t xml:space="preserve">Se fin.</t>
  </si>
  <si>
    <t xml:space="preserve">Fr fin.</t>
  </si>
  <si>
    <t xml:space="preserve">Pr fin.</t>
  </si>
  <si>
    <t xml:space="preserve">Av fin.</t>
  </si>
  <si>
    <t xml:space="preserve">Cl fin.</t>
  </si>
  <si>
    <t xml:space="preserve">Esito finale</t>
  </si>
  <si>
    <t xml:space="preserve">Norme citate</t>
  </si>
  <si>
    <t xml:space="preserve">Note di revisione</t>
  </si>
  <si>
    <t xml:space="preserve">LIB-001</t>
  </si>
  <si>
    <t xml:space="preserve">1.1.1</t>
  </si>
  <si>
    <t xml:space="preserve">Definizioni</t>
  </si>
  <si>
    <t xml:space="preserve">VRQ-001</t>
  </si>
  <si>
    <t xml:space="preserve">Impianto</t>
  </si>
  <si>
    <t xml:space="preserve">Generale impianto</t>
  </si>
  <si>
    <t xml:space="preserve">Sempre</t>
  </si>
  <si>
    <t xml:space="preserve">Tutte.</t>
  </si>
  <si>
    <t xml:space="preserve">Informazioni nelle istruzioni</t>
  </si>
  <si>
    <t xml:space="preserve">Nel manuale saranno riportate e chiarite le definizioni del presente RESS.</t>
  </si>
  <si>
    <t xml:space="preserve">Norme A: EN ISO 12100 | Norme: ISO/TR 14121-2</t>
  </si>
  <si>
    <t xml:space="preserve">Scheda descrittiva, senza stima del rischio.</t>
  </si>
  <si>
    <t xml:space="preserve">LIB-002</t>
  </si>
  <si>
    <t xml:space="preserve">1.1.2</t>
  </si>
  <si>
    <t xml:space="preserve">Principi d'integrazione della sicurezza</t>
  </si>
  <si>
    <t xml:space="preserve">L’Impianto di smerigliatura e lucidatura rubinetteria viene progettato per eseguire in modo automatico le operazioni di smerigliatura e, successivamente, di pulitura di componenti di rubinetteria.
L'impianto sarà realizzato con due zone di lavoro, di smerigliatura e di pulitura, ognuna con una propria cabina di protezione e fonti di alimentazione.
La zona di smerigliatura sarà costituita dai seguenti elementi:
- Stazione di carico a doppio pallet;
- nr. 3 gruppi di smerigliatura, costituita da un robot antropomorfo e due smerigliatrici a nastro;
- nr. 2 dispositivi per il passaggio del pezzo da un gruppo di smerigliatura a un altro;
- Trasportatore a tappeto di scarico.
La zona di pulitura sarà costituita dai seguenti elementi:
- Tavola rotante con 5 gruppi porta-pezzi;
- nr. 4 unità di lucidatura CNC;
- Impianto della pasta abrasiva a servizio delle stazioni di lucidatura.
Le fonti di alimentazione di energia dell'impianto saranno elettrica e pneumatica.
L'impianto viene progettato cercando di eliminare ogni possibile rischio.
In linea generale verranno seguite le norme EN ISO 10218-2:2011 e 11161:2010.
A tal proposito sarà dotato di:
- Ripari fissi perimetrali: cabina di protezione con pannelli fonoassorbenti e finestre per la visione della zona interna;
- Ripari mobili interbloccati: porte di accesso alla zona di lavoro, interbloccati con bloccaggio della porta;
- Sistemi di comando e controllo;
- Manuale d'uso con avvertenze, informazioni sui rischi residui e operazioni di manutenzione.
Le uniche operazioni che l'operatore addetto alla conduzione dovrà eseguire, oltre a sovrintendere alle operazioni dell'impianto, saranno quelle di:
- Caricare (all'occorrenza) i pezzi da lavorare sui pallet della stazione di carico (in zona classificata di carico) della zona di smerigliatura;
- A ogni rotazione della tavola rotante della zona di pulitura, scaricare il pezzo lavorato e caricarne uno da lucidare, prelevandolo dal trasportatore a nastro, in uscita dalla zona di smerigliatura.
A seconda del tipo di prodotto che si intende lavorare (fra quelli previsti dall'impianto), sarà necessario compiere delle operazioni di attrezzaggio. In particolare, se necessario, si dovranno sostituire le pinze di presa del pezzo sui gruppi di manipolazione, quali, i robot antropomorfi, la tavola rotante a 5 passi, nonché i due pallet porta-pezzi della stazione di carico.
Tutti i rischi residui saranno segnalati e riportati nel manuale di istruzione dell'impianto.
Verranno fornite indicazioni in merito ai DPI da utilizzare.</t>
  </si>
  <si>
    <t xml:space="preserve">LIB-003</t>
  </si>
  <si>
    <t xml:space="preserve">1.1.3</t>
  </si>
  <si>
    <t xml:space="preserve">Materiali e prodotti</t>
  </si>
  <si>
    <t xml:space="preserve">Le parti dell'impianto</t>
  </si>
  <si>
    <t xml:space="preserve">Normale.</t>
  </si>
  <si>
    <t xml:space="preserve">6.1 Pericoli generati da materiali e sostanze trattate, utilizzate o scaricate dalla macchina
6.2 Pericoli da contatto o inalazione di fluidi dannosi, gas, nebbie, fumi e polveri che hanno effetto dannoso, tossico, corrosivo e/o irritante
6.4 Pericoli biologici (es. muffe) e microbiologici (virus e batteri)</t>
  </si>
  <si>
    <t xml:space="preserve">L’Impianto di smerigliatura e lucidatura rubinetteria viene progettato per eseguire in modo automatico le operazioni di smerigliatura e, successivamente, di pulitura di componenti di rubinetteria.
L'impianto sarà realizzato con due zone di lavoro, di smerigliatura e di pulitura, ognuna con una propria cabina di protezione e fonti di alimentazione.
La zona di smerigliatura sarà costituita dai seguenti elementi:
- Stazione di carico a doppio pallet;
- nr. 3 gruppi di smerigliatura, costituita da un robot antropomorfo e due smerigliatrici a nastro;
- nr. 2 dispositivi per il passaggio del pezzo da un gruppo di smerigliatura a un altro;
- Trasportatore a tappeto di scarico.
La zona di pulitura sarà costituita dai seguenti elementi:
- Tavola rotante con 5 gruppi porta-pezzi;
- nr. 4 unità di lucidatura CNC;
- Impianto della pasta abrasiva a servizio delle stazioni di lucidatura.
Le fonti di alimentazione di energia dell'impianto saranno elettrica e pneumatica.
I materiali scelti ed utilizzati per la costruzione delle varie parti dell’impianto non presenteranno particolari pericoli.
Questi saranno materiali inerti che non emetteranno sostanze dannose per gli operatori durante il normale utilizzo dell'impianto:
- Acciaio inox e acciaio zincato-verniciato;
- Alluminio;
- Vetro antisfondamento;
- Vari materiali plastici di commercio (maniglie, pomelli, ecc.);
- Policarbonato;
- Apparecchiature elettriche ed elettroniche;
- Cavi elettrici;
- Altri materiali minori (viti, dadi, ecc.).
Il progetto strutturale dell’intero impianto sarà realizzato da: C.O.S.M.A.P. srl Vedere i "Disegni" e gli "Schemi meccanici" del Fascicolo Tecnico.
Il progetto dell’equipaggiamento elettrico sarà realizzato da: C.G.A. Automazioni srl Vedere gli "schemi elettrici" all'interno del Fascicolo Tecnico.
Il progetto dell’equipaggiamento pneumatico sarà realizzato da: C.O.S.M.A.P. srl Vedere gli "schemi pneumatici" all'interno del Fascicolo Tecnico.
Per quanto riguarda le polveri e sostanze che si formano durante la produzione, vedere quanto indicato al RESS 1.5.13.</t>
  </si>
  <si>
    <t xml:space="preserve">Nelle istruzioni dell'impianto saranno indicate le manutenzioni da eseguire per mantenere l'integrità delle parti.</t>
  </si>
  <si>
    <t xml:space="preserve">LIB-004</t>
  </si>
  <si>
    <t xml:space="preserve">VRQ-200</t>
  </si>
  <si>
    <t xml:space="preserve">Pulitura</t>
  </si>
  <si>
    <t xml:space="preserve">Impianto pasta abrasiva</t>
  </si>
  <si>
    <t xml:space="preserve">Se presente impianto pasta abrasiva</t>
  </si>
  <si>
    <t xml:space="preserve">Zona di pulitura con impianto della pasta abrasiva</t>
  </si>
  <si>
    <t xml:space="preserve">Normale; manutenzione.</t>
  </si>
  <si>
    <t xml:space="preserve">6.1 Pericoli generati da materiali e sostanze trattate, utilizzate o scaricate dalla macchina
6.2 Pericoli da contatto o inalazione di fluidi dannosi, gas, nebbie, fumi e polveri che hanno effetto dannoso, tossico, corrosivo e/o irritante</t>
  </si>
  <si>
    <t xml:space="preserve">L’Impianto di smerigliatura e lucidatura rubinetteria viene progettato per eseguire in modo automatico le operazioni di smerigliatura e successivamente di pulitura di componenti di rubinetteria in lega di ottone.
La zona di pulitura dell'impianto sarà dotata di impianto per la pasta abrasiva, necessario per eseguire le operazioni di pulitura.
L'impianto della pasta abrasiva sarà realizzato principalmente con componenti di commercio, come i serbatoi con pompa pneumatica di mandata e le pistole spruzzatrici.
Saranno presenti:
- una pistola spruzzatrice su ciascuna unità di lucidatura CNC;
- nr. 2 serbatoi (silos) per contenere due tipologie di pasta abrasiva;
- circuiti di alimentazione (singolo o doppio) per tutte le pistole spruzzatrici.
Per la tipologia di pasta abrasiva che verrà utilizzata sull’impianto, questa verrà scelta dall’utilizzatore, in base alle specifiche esigenze produttive.
Durante il funzionamento dell'impianto, quindi, verrà spruzzata pasta abrasiva sulle spazzole di lucidatura.
Anche se la zona di pulitura verrà predisposta con punti di captazione localizzati (sulle cuffie delle unità di lucidatura CNC) da collegare ad un impianto di aspirazione (vedere RESS 1.5.13), il mix di sostanze formate dal materiale lucidato e dalle paste abrasive, potranno depositarsi sulle superfici delle parti dell'impianto e della zona circoscritta (visto l'alto livello di umidità della pasta).
La cabina di protezione della zona di pulitura, quindi, permetterà il contenimento delle sostanze, ed eviterà che queste vengano disperse nell'ambiente.
A misura di protezione si daranno indicazioni nelle istruzioni di eseguire frequentemente la pulizia della zona di pulitura dell'impianto.
Vedere gli "schemi dell'impianto pasta" del Fascicolo Tecnico.</t>
  </si>
  <si>
    <t xml:space="preserve">Nelle istruzioni dell'impianto si riporterà di ottemperare alle avvertenze indicate nelle schede tecniche delle paste abrasive in uso.</t>
  </si>
  <si>
    <t xml:space="preserve">LIB-005</t>
  </si>
  <si>
    <t xml:space="preserve">1.1.4</t>
  </si>
  <si>
    <t xml:space="preserve">Illuminazione</t>
  </si>
  <si>
    <t xml:space="preserve">Tutte le zone dell'impianto</t>
  </si>
  <si>
    <t xml:space="preserve">Normale; manutenzione; regolazione / attrezzamento; programmazione; sblocco anomalie.</t>
  </si>
  <si>
    <t xml:space="preserve">9.2.1 Pericoli provocati da inadeguata illuminazione locale</t>
  </si>
  <si>
    <t xml:space="preserve">L'impianto viene progettato per funzionare in un ambiente industriale coperto.
Per quanto riguarda lo spazio intorno all'impianto, dove l'operatore transiterà e stazionerà, verranno date informazioni mediante le istruzioni: l'utilizzatore dovrà garantire un ambiente dove l'impianto verrà installato con una illuminazione sufficiente.
Per quanto riguarda lo spazio circoscritto delle cabine di protezione, all'interno della zona di smerigliatura e della zona di pulitura, saranno presenti delle lampade di illuminazione, in grado di illuminare efficacemente tutte le parti della zona.
Dove sarà prevista una frequente ispezione e regolazione verrà garantire un'illuminazione di almeno 500 lux.</t>
  </si>
  <si>
    <t xml:space="preserve">Sul manuale di istruzioni si riporterà l'obbligo di installare l'impianto in un ambiente sufficientemente illuminato.</t>
  </si>
  <si>
    <t xml:space="preserve">Norme A: EN ISO 12100 Norme B: EN 1837 | Norme: ISO/TR 14121-2</t>
  </si>
  <si>
    <t xml:space="preserve">LIB-006</t>
  </si>
  <si>
    <t xml:space="preserve">1.1.5</t>
  </si>
  <si>
    <t xml:space="preserve">Progettazione della macchina ai fini della movimentazione</t>
  </si>
  <si>
    <t xml:space="preserve">Tutte le zone al di sotto e/o in prossimità di un elemento dell'impianto durante le operazioni di movimentazione</t>
  </si>
  <si>
    <t xml:space="preserve">Trasporto; Installazione; Smantellamento.</t>
  </si>
  <si>
    <t xml:space="preserve">1.1.1 Pericolo di schiacciamento
1.1.6 Pericolo di urto
1.2.3 Massa e stabilità (energia potenziale di elementi che possono spostarsi sotto l'effetto della gravità)</t>
  </si>
  <si>
    <t xml:space="preserve">Tutti gli elementi dell'impianto potranno essere sollevati e/o movimentati mediante un dispositivo di sollevamento dall'alto o anche, in alcuni casi, con un carrello elevatore.
Vengono date informazioni nelle istruzioni.
In ogni caso, l'operazione di trasporto e movimentazione sarà effettuata esclusivamente dal personale preposto e autorizzato.
Vedere gli "schemi di sollevamento" alla sezione "Disegni di dettaglio" del fascicolo tecnico.</t>
  </si>
  <si>
    <t xml:space="preserve">Le istruzioni dell'impianto riporteranno:
- Le masse degli elementi che formano l'impianto;
- I disegni per il loro sollevamento;
- Indicazioni sul corretto trasporto e movimentazione.</t>
  </si>
  <si>
    <t xml:space="preserve">Norme A: EN ISO 12100 Norme B: EN 1005-2; EN 1005-4 | Norme: ISO/TR 14121-2</t>
  </si>
  <si>
    <t xml:space="preserve">LIB-007</t>
  </si>
  <si>
    <t xml:space="preserve">1.1.6</t>
  </si>
  <si>
    <t xml:space="preserve">Ergonomia</t>
  </si>
  <si>
    <t xml:space="preserve">Tutte le postazioni di lavoro per l'operatore</t>
  </si>
  <si>
    <t xml:space="preserve">Normale; manutenzione; regolazione / attrezzamento.</t>
  </si>
  <si>
    <t xml:space="preserve">9.1.1 Pericoli provocati da posizioni insalubri
9.1.3 Pericoli provocati da inadeguata progettazione o identificazione dei comandi manuali
9.2.2 Pericoli provocati da eccessivo o scarso impegno mentale, tensione
9.3.1 Pericoli provocati da errore umano, comportamento umano</t>
  </si>
  <si>
    <t xml:space="preserve">L’Impianto di smerigliatura e lucidatura rubinetteria viene progettato per eseguire in modo automatico le operazioni di smerigliatura e, successivamente, di pulitura di componenti di rubinetteria.
L'impianto sarà realizzato con due zone di lavoro, di smerigliatura e di pulitura, ognuna con una propria cabina di protezione e fonti di alimentazione.
Per l'impiego dell'impianto sarà previsto un corridoio di transito di almeno 1000 mm intorno alle cabine di protezione, aumentato a circa 2000 mm in corrispondenza delle postazioni di conduzione per l'operatore (di fronte ai pannelli di controllo, stazioni di carico e di scarico).
Una volta eseguite le regolazioni preliminari, la produzione verrà eseguita con ciclo di lavoro in modalità automatica.
Durante il normale funzionamento dell'impianto, l'operatore stazionerà all'esterno delle cabine di protezione, di fronte ai quadri elettrici principali o in corrispondenza della zona di carico/scarico dei pezzi. Quando necessario, si porterà in zona di carico per il rifornimento dei pezzi da lavorare nella zona di smerigliatura.
I dispositivi di comando verranno posizionati ad un'altezza compresa fra i 600 e i 1700 mm dal pavimento.
I pallet porta-pezzi della stazione di carico della zona di smerigliatura, che dovranno essere riempiti manualmente dall'operatore saranno ad un'altezza dal pavimento non inferiore agli 800 mm.
Il tappeto del trasportatore di scarico della zona di smerigliatura sarà ad un'altezza dal pavimento di circa 1100 mm.
I gruppi porta-pezzo della tavola rotante della zona di pulitura, quando in posizione di riposo (e quindi quella prevista in corrispondenza della posizione di carico/scarico), avranno la pinza porta-pezzo ad un'altezza di circa 1100 mm.
Il varco per il carico/scarico dei pezzi sulla tavola rotante, da cui l'operatore dovrà introdurre le mani ed eseguire le operazioni di carico e scarico dei pezzi sarà della dimensione utile per eseguire in modo ergonomico il compito.
Da quanto sopra riportato non si rilevano particolari problematiche concernenti l’ergonomia considerando anche che il ritmo di lavoro non è condizionato dalla macchina (ad es. non occorre fermare il ciclo di lavoro automatico per il rifornimento dei pezzi o per lo scarico) e che non è richiesta una concentrazione prolungata nel controllo dell'impianto da parte dell'operatore addetto alla conduzione. Opportune segnalazioni indicheranno lo stato delle due zone di lavoro.
Vedere le sezioni Disegni del fascicolo tecnico.</t>
  </si>
  <si>
    <t xml:space="preserve">Nelle istruzioni dell'impianto verranno indicate:
- Le dimensioni minime dello spazio necessario all'impianto per il suo corretto funzionamento, che devono essere garantite in fase di installazione.</t>
  </si>
  <si>
    <t xml:space="preserve">Norme A: EN ISO 12100 Norme B: EN 1005-2; EN 1005-3; EN 1005-4; EN 1005-5; EN 614-1; EN 614-2; EN 547-3; EN 894-1; EN 894-2; EN 894-3; EN 894-4; EN ISO 13732-1; EN ISO 13732-3; EN ISO 7731; EN ISO 14738; EN ISO 15536-1 | Norme: ISO/TR 14121-2</t>
  </si>
  <si>
    <t xml:space="preserve">LIB-008</t>
  </si>
  <si>
    <t xml:space="preserve">1.2.1</t>
  </si>
  <si>
    <t xml:space="preserve">Sicurezza ed affidabilità dei sistemi di comando</t>
  </si>
  <si>
    <t xml:space="preserve">Sistema di comando</t>
  </si>
  <si>
    <t xml:space="preserve">Tutte le parti mobili e attive dell'impianto</t>
  </si>
  <si>
    <t xml:space="preserve">Normale; programmazione; regolazione / attrezzamento; regolazione.</t>
  </si>
  <si>
    <t xml:space="preserve">1.2.2 Posizione relativa (può generare zone di schiacciamento, di cesoiamento, di impigliamento, ecc. quando le parti sono in movimento)
7.2.9 Guasto o disfunzione nel sistema di comando (avviamento inatteso, fuorigiri inatteso)
7.2.10 Guasto nel circuito di comando</t>
  </si>
  <si>
    <t xml:space="preserve">L’Impianto di smerigliatura e lucidatura rubinetteria viene progettato per eseguire in modo automatico le operazioni di smerigliatura e, successivamente, di pulitura di componenti di rubinetteria.
L'impianto sarà realizzato con due zone di lavoro, di smerigliatura e di pulitura, ognuna con una propria cabina di protezione e fonti di alimentazione.
L’impianto sarà quindi dotato, per ciascuna zona, di un sistema di comando e controllo che gestisce dispositivi o apparecchiature elettriche e pneumatiche della propria zona.
Le seguenti parti del sistema di comando svolgeranno funzioni di sicurezza:
- Arresto di emergenza - PLr=d (vedere RESS 1.2.4.3);
- Arresto legato alla sicurezza avviato da un mezzo di protezione (interblocco di un riparo mobile) - PLr=d (vedere RESS 1.3.7, 1.4.1 e 1.4.2.2);
- Arresto legato alla sicurezza avviato da un mezzo di protezione (barriera fotoelettrica) - PLr=d (vedere RESS 1.3.7, 1.4.1 e 1.4.3);
- Ripristino manuale - PLr=d (vedere RESS 1.2.2 e 1.2.3);
- Avvio/riavvio - PLr=d (vedere RESS 1.2.2 e 1.2.3);
- Dispositivo di consenso - interruttore di abilitazione "uomo morto" a 3 posizioni su ciascun terminale portatile - PLr=d (vedere RESS 1.2.5);
- Modalità di comando - PLr=d (vedere RESS 1.2.5).
Tutte le funzioni di sicurezza sopra descritte verranno realizzate con componenti e un’architettura tale da ottenere o superare il Performance Level richiesto (PLr).
Vedere la "Relazione sistemi di comando legati alla sicurezza secondo EN ISO 13849-1/-2" nella sezione "Analisi per la sicurezza" del Fascicolo Tecnico.
Tutte le apparecchiature utilizzate saranno adatte agli ambienti industriali e inserite all'interno di un armadio in carpenteria metallica.
Inoltre, e per una maggior sicurezza:
- Tutti i cablaggi relativi ai segnali analogici verranno realizzati con cavi schermati (salvo che il costruttore del prodotto non lo richieda);
- Le apparecchiature di potenza ed i relativi cablaggi verranno, per quanto possibile, separati dalle apparecchiature elettroniche di comando o di sicurezza;
- Tutte le parti metalliche strutturali del quadro elettrico e le apparecchiature che lo prevedono verranno collegate al circuito equipotenziale di terra;
- Una delle due fasi di alimentazione del circuito ausiliario verrà collegata al circuito equipotenziale.
L'impianto NON utilizzerà di dispositivi senza cavo.</t>
  </si>
  <si>
    <t xml:space="preserve">Norme A: EN ISO 12100 Norme B: EN ISO 13849-1; IEC/EN 62061; EN 60204-1 | Norme: ISO/TR 14121-2</t>
  </si>
  <si>
    <t xml:space="preserve">LIB-009</t>
  </si>
  <si>
    <t xml:space="preserve">1.2.2</t>
  </si>
  <si>
    <t xml:space="preserve">Dispositivi di comando</t>
  </si>
  <si>
    <t xml:space="preserve">Parti mobili e attive dell'impianto</t>
  </si>
  <si>
    <t xml:space="preserve">Normale; programmazione; sblocco anomalie.</t>
  </si>
  <si>
    <t xml:space="preserve">7.2.10 Guasto nel circuito di comando
9.1.3 Pericoli provocati da inadeguata progettazione o identificazione dei comandi manuali
9.1.6 Posizionamento inadeguato degli organi di comando manuali</t>
  </si>
  <si>
    <t xml:space="preserve">L’Impianto di smerigliatura e lucidatura rubinetteria viene progettato per eseguire in modo automatico le operazioni di smerigliatura e, successivamente, di pulitura di componenti di rubinetteria.
L'impianto sarà realizzato con due zone di lavoro, di smerigliatura e di pulitura, ognuna con una propria cabina di protezione e fonti di alimentazione.
L’impianto sarà quindi dotato, per ciascuna zona, di sistema di comando.
La zona di smerigliatura sarà equipaggiata con:
- Un quadro elettrico di alimentazione;
- Un pannello operatore di interfaccia uomo-macchina;
- Un quadro controller con terminale di programmazione del robot A;
- Un quadro controller con terminale di programmazione del robot B;
- Un quadro controller con terminale di programmazione del robot C;
- Una pulsantiera di comando locale in corrispondenza della stazione di carico;
- Una pulsantiera di comando locale in corrispondenza del trasportatore di scarico;
- Una pulsantiera di comando locale del primo dispositivo di scambio robot (all'interno della cabina);
- Una pulsantiera di comando locale del secondo dispositivo di scambio robot (all'interno della cabina);
- Una serie di pulsanti di emergenza dislocati in vari punti dell'impianto anche all'interno della cabina di protezione (vedere RESS 1.2.4.3).
La zona di pulitura sarà equipaggiata con:
- Un quadro elettrico di alimentazione;
- Un pannello operatore di interfaccia uomo-macchina;
- Un pannello operatore mobile;
- Un pedale di comando in corrispondenza della stazione di carico/scarico;
- Una serie di pulsanti di emergenza dislocati in vari punti all'interno della cabina di protezione (vedere RESS 1.2.4.3).
Per quanto riguarda i terminali portatili (di ciascun robot della zona di smerigliatura e quello dedicato alla zona di pulitura), questi saranno componenti di commercio.
In generale:
- Tutti i dispositivi di comando saranno posti in un involucro per parti elettriche adatto all’ambiente di utilizzo.
- L'altezza da terra dei dispositivi di comando sarà compresa fra i 600 e i 1700 mm dal pavimento.
- Tutti i dispositivi di comando e segnalazione avranno un'etichetta con riportata la funzione e la zona controllata.
- I dispositivi di comando posti sulle varie pulsantiere saranno quelli utili alle operazioni che l'operatore dovrà svolgere in tale postazione.
- I quadri elettrici delle due zone saranno posti ciascuno in corrispondenza della propria zona (accostati alla cabina di protezione). - Qualora i quadri elettrici avranno dispositivi di comando necessari all'avviamento e all'arresto della zona (come il selettore modale e di sblocco porte), essi saranno ubicati in modo da: aver visione della zona interna protetta ed essere di facile accesso.
- Quando un dispositivo di comando consentirà varie azioni differenti, vale a dire se la sua azione non è univoca, l'azione comandata sarà chiaramente indicata e, se necessario, confermata.
- Gli indicatori di stato delle zone di lavoro saranno ubicati in modo tale che l'operatore addetto alla conduzione dalla sua postazione di lavoro principale (scarico nastro e carico/scarico tavola rotante) possa averne visione.
Dalle postazioni principali di conduzione, l'operatore potrà verificare che all'interno delle zone protette non vi siano persone.
I comandi di ripristino e di avviamento, quindi, saranno ubicati dove l’operatore avrà una visione chiara e libera dello spazio protetto.
Nel caso in cui il layout delle zone di lavoro è tale da consentire ad un operatore di essere nascosto alla vista dalla postazione dove avviene il ripristino e avvio, verranno installati dei dispositivi aggiuntivi di ripristino a tempo limitato all’interno della zona protetta: uno tra le due porte posteriori e uno tra le due porta anteriori. Per il ripristino della macchina sarà necessario premere uno dei due dispositivi di ripristino interni e, subito dopo (entro il lasso di tempo necessario a raggiungerlo) il secondo comando di ripristino esterno.
Vedere schemi elettrici all'interno del Fascicolo tecnico.</t>
  </si>
  <si>
    <t xml:space="preserve">Nelle istruzioni dell'impianto si riporterà:
- la descrizione di ogni dispositivo di comando;
- il significato di ogni spia luminosa;
- le istruzioni del software (in allegato).</t>
  </si>
  <si>
    <t xml:space="preserve">Norme A: EN ISO 12100 Norme B: EN 981; EN 894-1; EN 894-3; EN 894-4 | Norme: ISO/TR 14121-2</t>
  </si>
  <si>
    <t xml:space="preserve">LIB-010</t>
  </si>
  <si>
    <t xml:space="preserve">1.2.3</t>
  </si>
  <si>
    <t xml:space="preserve">Avviamento</t>
  </si>
  <si>
    <t xml:space="preserve">L’Impianto di smerigliatura e lucidatura rubinetteria viene progettato per eseguire in modo automatico le operazioni di smerigliatura e, successivamente, di pulitura di componenti di rubinetteria.
L'impianto sarà realizzato con due zone di lavoro, di smerigliatura e di pulitura, ognuna con una propria cabina di protezione e fonti di alimentazione.
L’impianto sarà quindi dotato, per ciascuna zona, di un sistema di comando e controllo che gestisce dispositivi o
apparecchiature elettriche e pneumatiche della propria zona.
Vedere la scheda di valutazione VRQ-100 del presente RESS per la zona di smerigliatura.
Vedere la scheda di valutazione VRQ-200 del presente RESS per la zona di pulitura.</t>
  </si>
  <si>
    <t xml:space="preserve">Nelle istruzioni dell'impianto vengono riportate le procedure per la messa in tensione e l'avviamento dell'impianto.</t>
  </si>
  <si>
    <t xml:space="preserve">Norme A: EN ISO 12100 Norme B: EN ISO 14118 | Norme: ISO/TR 14121-2</t>
  </si>
  <si>
    <t xml:space="preserve">LIB-011</t>
  </si>
  <si>
    <t xml:space="preserve">VRQ-100</t>
  </si>
  <si>
    <t xml:space="preserve">Smerigliatura</t>
  </si>
  <si>
    <t xml:space="preserve">Tutte le parti mobili e attive della zona di smerigliatura</t>
  </si>
  <si>
    <t xml:space="preserve">1.2.2 Posizione relativa (può generare zone di schiacciamento, di cesoiamento, di impigliamento, ecc. quando le parti sono in movimento)
7.2.2 Avviamento inatteso</t>
  </si>
  <si>
    <t xml:space="preserve">ZONA DI SMERIGLIATURA Per abilitare la zona di smerigliatura al funzionamento sarà necessario, dopo la messa in tensione, usare il comando di “RIPRISTINO SMERIGLIATURA”. L’avvenuta abilitazione sarà segnalata dall’accensione della spia integrata nel pulsante stesso.
Il ripristino della zona di smerigliatura sarà possibile solo se tutte le porte di accesso alla zona di lavoro di smerigliatura saranno chiuse e bloccate e non vi saranno pulsanti di emergenza di zona premuti.
A questo punto, se non ci sono anomalie da resettare e/o parti della zona da azzerare (ovvero da portare nella posizione prevista di inizio ciclo):
- con selettore modale su “AUT” e programma o ordine di lavoro caricato sul pannello operatore, sarà possibile avviare il ciclo di lavoro automatico premendo il pulsante “INIZIO CICLO SMERIGLIATURA";
- con selettore modale su "MAN" sarà possibile muovere una specifica stazione di lavoro, attraverso il pannello operatore e appositi dispositivi di comando.
Ponendo il selettore modale su "SBLOCCA PORTE", tutte le parti della zona di smerigliatura non potranno attivarsi, e le porte interbloccate verranno sbloccate in modo che l’operatore possa accedere alla zona di smerigliatura. Vedere RESS 1.3.7.
Con selettore modale su "SBLOCCA PORTE" sarà possibile utilizzare il terminale portatile di un robot, impostandolo in modalità manuale (tramite selettore a chiave -vedere RESS 1.2.5), per eseguire la programmazione del gruppo di smerigliatura abilitato (tutti gli altri elementi della zona di smerigliatura saranno in arresto sicuro).
Vi sarà un unico dispositivo di comando per l'avviamento della zona di smerigliatura.
L’avviamento della zona di smerigliatura dovrà essere ri-eseguita ogni volta che si è verificata un’emergenza o grave anomalia o le porte interbloccate sono state sbloccate.
Vi sarà un unico dispositivo di comando per il ripristino della zona di smerigliatura, posto in corrispondenza della postazione di comando dove l'operatore potrà avere il controllo dell'intera zona.</t>
  </si>
  <si>
    <t xml:space="preserve">LIB-012</t>
  </si>
  <si>
    <t xml:space="preserve">Tutte le parti mobili e attive della zona di pulitura</t>
  </si>
  <si>
    <t xml:space="preserve">ZONA DI PULITURA Per abilitare la zona di pulitura al funzionamento sarà necessario, dopo la messa in tensione, usare il comando di “RIPRISTINO PULITURA”. L’avvenuta abilitazione sarà segnalata dall’accensione della spia integrata nel pulsante stesso.
Il ripristino della zona di pulitura sarà possibile solo se tutte le porte di accesso alla zona di lavoro di pulitura saranno chiuse e bloccate, non vi saranno pulsanti di emergenza di zona premuti, la barriera fotoelettrica a protezione del varco di carico/scarico pezzi non sarà violata.
A questo punto, se non ci sono anomalie da resettare e/o parti della zona da azzerare (ovvero da portare nella posizione prevista di inizio ciclo):
- con selettore modale su “AUT” e programma o ordine di lavoro caricato sul pannello operatore, sarà possibile avviare il ciclo di lavoro automatico premendo il pulsante “INIZIO CICLO PULITURA";
- con selettore modale su "MAN" sarà possibile muovere una specifica stazione di lavoro, attraverso il pannello operatore e appositi dispositivi di comando.
Ponendo il selettore modale su "SBLOCCA PORTE", tutte le parti della zona di pulitura non potranno attivarsi, e le porte interbloccate verranno sbloccate in modo che l’operatore possa accedere alla zona di pulitura. Durante il funzionamento, le parti mobili subiranno un immediato arresto.
Con selettore modale su "SBLOCCA PORTE" sarà possibile utilizzare il terminale portatile di zona e, una volta inserite le credenziali di utente di alto livello (in possesso a personale specificatamente addestrato), sarà possibile eseguire le operazioni per la programmazione (vedere RESS 1.2.5).
Vi sarà un unico dispositivo di comando per l'avviamento della zona di pulitura.
L’avviamento della zona di pulitura dovrà essere ri-eseguita ogni volta che si è verificata un’emergenza o grave anomalia o le porte interbloccate sono state sbloccate.
Vi sarà un unico dispositivo di comando per il ripristino della zona di pulitura, posto in corrispondenza della postazione di comando dove l'operatore potrà avere il controllo dell'intera zona.</t>
  </si>
  <si>
    <t xml:space="preserve">LIB-013</t>
  </si>
  <si>
    <t xml:space="preserve">1.2.4.1</t>
  </si>
  <si>
    <t xml:space="preserve">Arresto normale</t>
  </si>
  <si>
    <t xml:space="preserve">L’Impianto di smerigliatura e lucidatura rubinetteria viene progettato per eseguire in modo automatico le operazioni di smerigliatura e, successivamente, di pulitura di componenti di rubinetteria.
L'impianto sarà realizzato con due zone di lavoro, di smerigliatura e di pulitura, ognuna con una propria cabina di protezione e fonti di alimentazione.
L’impianto sarà quindi dotato, per ciascuna zona, di un sistema di comando e controllo che gestisce dispositivi o apparecchiature elettriche e pneumatiche della propria zona.
Vedere la scheda di valutazione VRQ-100 del presente RESS per la zona di smerigliatura.
Vedere la scheda di valutazione VRQ-200 del presente RESS per la zona di pulitura.</t>
  </si>
  <si>
    <t xml:space="preserve">Norme A: EN ISO 12100 Norme B: EN 60204-1 | Norme: ISO/TR 14121-2</t>
  </si>
  <si>
    <t xml:space="preserve">LIB-014</t>
  </si>
  <si>
    <t xml:space="preserve">1.2.2 Posizione relativa (può generare zone di schiacciamento, di cesoiamento, di impigliamento, ecc. quando le parti sono in movimento)
1.2.4 Massa e velocità (energia cinetica di elementi in movimento controllato o non controllato)
7.2.3 Mancato arresto, se il comando è già stato dato</t>
  </si>
  <si>
    <t xml:space="preserve">La zona di smerigliatura avrà dispositivi di comando per l'arresto del ciclo di lavoro della zona, in corrispondenza di tutte le postazioni di conduzione dell'operatore (quadro elettrico, pulsantiera a fine trasportatore di scarico, ecc.)
Una volta dato il comando di arresto, tutte le stazioni di lavoro della zona di smerigliatura termineranno la fase lavorativa in corso e si porteranno in posizione di zero, in modo che il ciclo possa essere ripreso immediatamente con il pulsante "INIZIO CICLO", se le condizioni originali non vengono alterate.</t>
  </si>
  <si>
    <t xml:space="preserve">Nelle istruzioni dell'impianto verranno date indicazioni sulle modalità di arresto.</t>
  </si>
  <si>
    <t xml:space="preserve">LIB-015</t>
  </si>
  <si>
    <t xml:space="preserve">La zona di pulitura avrà dispositivi di comando per l'arresto del ciclo di lavoro della zona, in corrispondenza di tutte le postazioni di conduzione dell'operatore (pannello di comando sulla postazione di carico/scarico, ecc.).
Una volta dato il comando, tutte le stazioni di lavoro della zona di pulitura termineranno la fase lavorativa in corso e si porteranno in posizione di zero, in modo che il ciclo possa essere ripreso immediatamente con il pulsante "INIZIO CICLO", se le condizioni originali non vengono alterate.</t>
  </si>
  <si>
    <t xml:space="preserve">LIB-016</t>
  </si>
  <si>
    <t xml:space="preserve">1.2.4.3</t>
  </si>
  <si>
    <t xml:space="preserve">Arresto di emergenza</t>
  </si>
  <si>
    <t xml:space="preserve">Normale; manutenzione; programmazione; regolazione.</t>
  </si>
  <si>
    <t xml:space="preserve">Norme A: EN ISO 12100 Norme B: EN ISO 13850; EN 60947-5-5; EN 60204-1 | Norme: ISO/TR 14121-2</t>
  </si>
  <si>
    <t xml:space="preserve">LIB-017</t>
  </si>
  <si>
    <t xml:space="preserve">Normale; manutenzione; programmazione; regolazione / attrezzamento.</t>
  </si>
  <si>
    <t xml:space="preserve">1.1.1 Pericolo di schiacciamento
1.1.2 Pericolo di cesoiamento
1.1.3 Pericolo di taglio o di sezionamento
1.1.4 Pericolo di impigliamento
1.1.5 Pericolo di trascinamento o d'intrappolamento
1.1.6 Pericolo di urto
1.1.8 Pericolo di attrito o di abrasione
1.2.2 Posizione relativa (può generare zone di schiacciamento, di cesoiamento, di impigliamento, ecc. quando le parti sono in movimento)</t>
  </si>
  <si>
    <t xml:space="preserve">ZONA DI SMERIGLIATURA La zona di smerigliatura sarà dotata di diversi pulsanti di arresto di emergenza, ubicati in corrispondenza della pulsantiera/quadro da cui è possibile l'avviamento di zona, sulla pulsantiera di comando della postazione di carico pallet, su ciascun terminale portatile e su ogni smerigliatrice a nastro (all'interno della zona protetta).
I pulsanti di emergenza saranno ad autoritenuta, di colore rosso su fondo giallo (per quanto possibile).
Premendo un pulsante di emergenza, tutte le parti della zona di smerigliatura si arresteranno immediatamente e le porte di accesso alla zona di lavoro di smerigliatura verranno sbloccate. In questa condizione il circuito pneumatico non verrà scaricato dalla pressione, anche per garantire che i nastri abrasivi nelle smerigliatrici rimangano in posizione tesa, e che siano mantenuti i comandi delle pinze di presa dei pezzi.
Il ripristino del pulsante di emergenza premuto non comporterà alcun movimento o avviamento. A seguito di un'emergenza sarà necessario ripetere la procedura di avviamento della zona di smerigliatura ripristinando la sicurezza con l'apposito comando di ripristino manuale (vedere RESS 1.2.3).
La funzione dei pulsanti di arresto di emergenza sarà sempre disponibile qualsiasi sia la modalità di funzionamento della zona di smerigliatura.
I pulsanti di emergenza, insieme al relativo circuito di comando, realizzano una funzione di sicurezza.
Vedere la sezione "Schemi circuitali" del fascicolo tecnico.</t>
  </si>
  <si>
    <t xml:space="preserve">Nelle istruzioni dell'impianto sarà riportata l'ubicazione dei pulsanti di arresto di emergenza della zona di smerigliatura.</t>
  </si>
  <si>
    <t xml:space="preserve">LIB-018</t>
  </si>
  <si>
    <t xml:space="preserve">ZONA DI PULITURA La zona di pulitura sarà dotata di diversi pulsanti di arresto di emergenza, ubicati in corrispondenza della pulsantiera/quadro da cui è possibile l'avviamento di zona, in corrispondenza della postazione di carico/scarico pezzi, sul terminale portatile e all'interno della zona di pulitura, in prossimità di ciascuna unità CNC.
I pulsanti di emergenza saranno ad autoritenuta, di colore rosso su fondo giallo (per quanto possibile).
Premendo un pulsante di emergenza, tutte le parti della zona di pulitura si arresteranno e le porte di accesso alla zona di lavoro di pulitura verranno sbloccate. In questa condizione il circuito pneumatico non verrà scaricato dalla pressione per mantenere in presa i pezzi sulle pinze ad azione positiva.
Il ripristino del pulsante di emergenza premuto non comporterà alcun movimento o avviamento. A seguito di un'emergenza sarà necessario ripetere la procedura di avviamento della zona di pulitura ripristinando la sicurezza con l'apposito comando di ripristino manuale (vedere RESS 1.2.3).
La funzione dei pulsanti di arresto di emergenza sarà sempre disponibile qualsiasi sia la modalità di funzionamento della zona di pulitura.
I pulsanti di emergenza, insieme al relativo circuito di comando, realizzano una funzione di sicurezza.
Vedere la sezione "Schemi circuitali" del fascicolo tecnico.</t>
  </si>
  <si>
    <t xml:space="preserve">LIB-019</t>
  </si>
  <si>
    <t xml:space="preserve">1.2.5</t>
  </si>
  <si>
    <t xml:space="preserve">Selezione del modo di comando o di funzionamento</t>
  </si>
  <si>
    <t xml:space="preserve">Normale; sblocco anomalie; regolazione / attrezzamento; programmazione.</t>
  </si>
  <si>
    <t xml:space="preserve">L’Impianto di smerigliatura e lucidatura rubinetteria viene progettato per eseguire in modo automatico le operazioni di smerigliatura e, successivamente, di pulitura di componenti di rubinetteria.
L'impianto sarà realizzato con due zone di lavoro, di smerigliatura e di pulitura, ognuna con una propria cabina di protezione e fonti di alimentazione.
Vedere la scheda di valutazione VRQ-100 del presente RESS per la zona di smerigliatura.
Vedere la scheda di valutazione VRQ-200 del presente RESS per la zona di pulitura.</t>
  </si>
  <si>
    <t xml:space="preserve">Norme A: EN ISO 12100 Norme B: EN ISO 13849-1; EN 62061; EN 60204-1 | Norme: ISO/TR 14121-2</t>
  </si>
  <si>
    <t xml:space="preserve">LIB-020</t>
  </si>
  <si>
    <t xml:space="preserve">Normale; programmazione; regolazione / attrezzamento; sblocco anomalie.</t>
  </si>
  <si>
    <t xml:space="preserve">ZONA DI SMERIGLIATURA La selezione del modo di funzionamento avrà la priorità su tutti gli altri comandi, salvo l’arresto d’emergenza.
La selezione del modo di funzionamento sarà mediante selettori a chiave.
- Modo AUTOMATICO: la zona di smerigliatura funzionerà seguendo l’ordine di lavoro (programma) impostato sull’interfaccia operatore. Il funzionamento in AUTOMATICO sarà consentito sole se tutte le porte interbloccate della cabina della zona di smerigliatura saranno chiuse e se non saranno presenti condizioni di allarme. Il modo AUTOMATICO sarà quello usato per la produzione.
- Modo MANUALE: la zona di smerigliatura non potrà operare a livello produttivo. Una volta richiamata la pagina specifica di una stazione di lavoro della zona di smerigliatura, sarà possibile eseguire una singola movimentazione. Il funzionamento in MANUALE sarà consentito solo se tutte le porte interbloccate della cabina della zona di smerigliatura saranno chiuse e se non saranno presenti condizioni di allarme. Il modo MANUALE sarà usato per l'azzeramento delle stazioni di lavoro, sblocco anomalie, o riposizionamento in condizioni utili per partire con la produzione.
- Modo TEST (SBLOCCA PORTE), che consentirà:
- di accedere alla zona di lavoro per eseguire la sostituzione degli utensili o le regolazioni necessarie per cambio codice prodotto da lavorare, in quanto le porte di accesso alla zona di lavoro sono sbloccate e tutte le utenze elettriche sono in arresto sicuro (in questa condizione il circuito pneumatico non viene scaricato dalla pressione). Non è previsto l'uso del terminale portatile dei robot;
- (in associazione alla modalità operativa di uno dei robot) la programmazione di una ricetta con il terminale portatile di uno dei robot. Solo per operatori qualificati alla programmazione dei robot e dei gruppi di smerigliatura.
Quando il selettore modale è su “SBLOCCA PORTE”, tutte le porte interbloccate di accesso alla zona di lavoro di smerigliatura saranno sbloccate e una volta impostata la modalità manuale del robot con cui si intende operare, sarà possibile utilizzare il relativo terminale portatile, stando all'interno della cabina di protezione della zona di smerigliatura (porte sbloccate) e con la possibilità di osservare la posizione delle utenze.
Il selettore modale dei robot sarà quello del quadro controller e quindi di commercio. I robot saranno certificati ai sensi della norma EN ISO 10218-1 e quindi i modi di funzionamento e il terminale portatile con il relativo dispositivo di abilitazione “uomo morto” a tre posizioni saranno quelli previsti da norma.
In modo TEST (SBLOCCO PORTE di zona + T1 del robot) l'operatore addetto alla programmazione, stando all'interno della zona di lavoro di smerigliatura e con dispositivo di abilitazione premuto, potrà:
- Movimentare un solo asse di un solo elemento alla volta del solo gruppo di smerigliatura attivo e a velocità ridotta;
- Movimentare il robot antropomorfo ad una velocità ridotta (massimo 250 mm/sec).
Quando un robot sarà in modalità manuale gli altri robot e tutte le altre stazioni di lavoro saranno in arresto sicuro.
Qualora i robot abbiano la modalità manuale ad alta velocità T2 verranno adottate le ulteriori condizioni di sicurezza indicate al RESS 1.3.7, VRQ-121.
Il cambio della modalità di funzionamento durante il ciclo di lavoro automatico comporterà un suo arresto.
Lo "SBLOCCO PORTE" comporterà il ripristino manuale e riavviamento del ciclo di lavoro.
Si daranno misure di protezione mediante le istruzioni.
I selettori modali, insieme al relativo circuito di comando, realizzeranno una funzione di sicurezza.
I dispositivi "uomo morto" di abilitazione presenti sui terminali portatili realizzeranno, insieme al relativo circuito di comando, una funzione di sicurezza.</t>
  </si>
  <si>
    <t xml:space="preserve">Nelle istruzioni dell’impianto si riporterà:
- L’obbligo di portare con sé la chiave del selettore modale quando si accede alla zona di lavoro di smerigliatura.
- Quando si accede all’area protetta indossare sempre tutti i dispositivi di protezione individuale previsti.
- L’obbligo di consegnare la chiave del selettore modale dei robot al personale qualificato alla programmazione dei robot.
- L'avvertenza che solo personale addestrato può utilizzare uno dei terminali portatili per la movimentazione delle parti della zona di smerigliatura all’interno dell’area protetta.
- L'avvertenza che, durante le manovre in test, non ci si deve mai posizionare all’interno dello spazio di azione della stazione di lavoro o dei robot. Mantenersi sempre a distanza di sicurezza.
- L'avvertenza che, durante i TEST, è necessario porsi al di fuori della potenziale linea di proiezione sia del pezzo in lavorazione (qualora dovesse sfuggire dalla presa della pinza porta-pezza), sia del materiale asportato o degli utensili (nastri abrasivi).</t>
  </si>
  <si>
    <t xml:space="preserve">Il rischio finale non è in area verde: verificare se servono altre misure o motivare l'accettazione.</t>
  </si>
  <si>
    <t xml:space="preserve">LIB-021</t>
  </si>
  <si>
    <t xml:space="preserve">ZONA DI PULITURA La selezione del modo di funzionamento avrà la priorità su tutti gli altri comandi, salvo l’arresto d’emergenza.
La selezione del modo di funzionamento sarà mediante un selettore a chiave e password.
- Modo AUTOMATICO: la zona di pulitura funzionerà seguendo l’ordine di lavoro (programma) impostato sull’interfaccia operatore. Il funzionamento in AUTOMATICO sarà consentito sole se tutte le porte interbloccate della cabina della zona di pulitura saranno chiuse e se non saranno presenti condizioni di allarme. Il modo AUTOMATICO sarà quello usato per la produzione.
- Modo MANUALE: la zona di pulitura non potrà operare a livello produttivo. Una volta richiamata la pagina specifica di una stazione di lavoro della zona di pulitura, sarà possibile eseguire una singola movimentazione. Il funzionamento in MANUALE sarà consentito solo se tutte le porte interbloccate della cabina della zona di pulitura saranno chiuse e se non saranno presenti condizioni di allarme. Il modo MANUALE sarà usato per l'azzeramento delle stazioni di lavoro, sblocco anomalie, o riposizionamento in condizioni utili per partire con la produzione.
- Modo TEST (SBLOCCAPORTE), che consentirà:
- di accedere alla zona di lavoro per eseguire la sostituzione degli utensili o le regolazioni necessarie per cambio codice prodotto da lavorare, in quanto le porte di accesso alla zona di lavoro saranno sbloccate e tutte le utenze elettriche saranno in arresto sicuro (in questa condizione il circuito pneumatico non viene scaricato dalla pressione). Non è previsto l'uso del terminale portatile di zona;
- (in associazione all'inserimento di credenziali di utente ad alto livello) la programmazione di una ricetta con il terminale portatile della zona di pulitura. Solo per operatori qualificati alla programmazione.
Quando il selettore modale è su “SBLOCCA PORTE”, tutte le porte interbloccate di accesso alla zona di lavoro di pulitura saranno sbloccate e una volta inserite le credenziali di utente di alto livello sul terminale, sarà possibile utilizzarlo, stando all'interno della cabina di protezione della zona di puliatura (porte sbloccate) e con la possibilità di osservare la posizione delle utenze.
Per la tipologia di lavorazioni svolte dalla zona di pulitura, l’operatore addetto alla programmazione avrà la necessità di operare in prossimità degli organi mobili, in modo da verificare non solo la correttezza della ricetta che deve creare, ma anche la qualità delle operazioni di pulitura svolte, garantendo la precisione delle lavorazioni sul pezzo. Per questo motivo, in modalità di TEST con attivazione costante del dispositivo di abilitazione "uomo morto", l'operatore addetto alla programmazione che possiede le credenziali di utente di alto livello, potrà:
- Movimentare una sola stazione di lavoro alla volta, un asse alla volta a velocità ridotta oppure la rotazione della spazzola anche alla massima velocità;
- Eseguire il test in continuo.
Non è invece possibile comandare la rotazione della tavola rotante della zona di pulitura.
Il cambio della modalità di funzionamento durante il ciclo di lavoro automatico comporterà un suo arresto.
Lo "SBLOCCO PORTE" comporterà il ripristino manuale e riavviamento del ciclo di lavoro.
Si daranno misure di protezione mediante le istruzioni.
Il selettore modale, insieme al relativo circuito di comando, realizzerà una funzione di sicurezza.
Il dispositivo "uomo morto" di abilitazione presente sul terminale portatile realizzerà, insieme al relativo circuito di comando, una funzione di sicurezza.</t>
  </si>
  <si>
    <t xml:space="preserve">Nelle istruzioni dell’impianto si riporterà:
- L’obbligo di portare con sé la chiave del selettore modale quando si accede alla zona di lavoro di pulitura.
- Quando si accede all’area protetta indossare sempre tutti i dispositivi di protezione individuale previsti.
- L’obbligo di consegnare le credenziali di utente di alto livello solo a personale addetto alla programmazione addestrato.
- L'avvertenza che solo personale addestrato può utilizzare il terminale portatile per la movimentazione delle parti della zona di pulitura all’interno dell’area protetta.
- L'avvertenza che, durante le manovre in test, non ci si deve mai posizionare all’interno dello spazio di azione della stazione di lavoro. Mantenersi sempre a distanza di sicurezza.
- L'avvertenza che, durante i TEST, è necessario porsi al di fuori della potenziale linea di proiezione sia del pezzo in lavorazione (qualora dovesse sfuggire dalla presa della pinza porta-pezza), sia del materiale asportato o degli utensili (spazzole).</t>
  </si>
  <si>
    <t xml:space="preserve">LIB-022</t>
  </si>
  <si>
    <t xml:space="preserve">1.2.6</t>
  </si>
  <si>
    <t xml:space="preserve">Guasto del circuito di alimentazione di energia</t>
  </si>
  <si>
    <t xml:space="preserve">7.1 Pericoli causati da guasto della fonte di energia, dalla rottura di parti del macchinario e da altre disfunzioni
7.2.4 Caduta o proiezione di parti in movimento o pezzi trattenuti dal macchinario
7.2.8 Guasto nell'alimentazione dell'energia</t>
  </si>
  <si>
    <t xml:space="preserve">L’Impianto di smerigliatura e lucidatura rubinetteria viene progettato per eseguire in modo automatico le operazioni di smerigliatura e, successivamente, di pulitura di componenti di rubinetteria.
L'impianto sarà realizzato con due zone di lavoro, di smerigliatura e di pulitura, ognuna con una propria cabina di protezione e fonti di alimentazione.
Entrambe le zone utilizzeranno le seguenti fonti energetiche:
- Alimentazione elettrica;
- Alimentazione aria compressa.
ZONA DI SMERIGLIATURA - Disalimentazione elettrica L'intera zona di smerigliatura dell'impianto verrà racchiusa da una cabina di protezione.
Durante il normale funzionamento dell'impianto, l'operatore stazionerà all'esterno della cabina, di fronte al quadro elettrico di zona o in corrispondenza della zona di scarico dei pezzi. Quando necessario, si porterà in zona di carico per il rifornimento dei pezzi da lavorare in uno dei pallet della stazione di carico.
In caso di disalimentazione elettrica tutte le utenze elettriche si fermeranno in tempi relativamente brevi.
L'accesso ai vari elementi mobili sarà comunque impedito, in quanto le porte di accesso della cabina di protezione avranno dispositivi di interblocco con bloccaggio del riparo del tipo power-to-release.
La mancanza di alimentazione determinerà anche la disinserzione della logica di sicurezza.
Al ritorno della fonte di alimentazione elettrica e per poter avviare l'impianto sarà richiesta un'azione manuale di inserzione/ripristino, la quale sarà effettuata attraverso il pulsante “RIPRISTINO AUSILIARI” della zona di smerigliatura.
ZONA DI SMERIGLIATURA - Disalimentazione pneumatica In caso di disalimentazione pneumatica, il pressostato segnalerà l'anomalia e la logica di controllo fermerà immediatamente tutte le utenze. Il gruppo di trattamento principale della zona di smerigliatura su cui avviene l'allacciamento dell'aria compressa avrà un pressostato che impedirà l'avviamento della zona. Tutte le elettrovalvole per gli attuatori che potrebbero costituire un pericolo a causa di un movimento inaspettato dovuto ad un guasto energetico saranno del tipo bistabile.
La presa dei pezzi nelle pinze porta-pezzo sarà ad azione pneumatica.
A seconda della conformazione del prodotto da lavorare, le pinze porta-pezzo potranno essere di tipo "normalmente chiusa", ovvero l'aria compressa aprirà la pinza per rilasciare il pezzo, oppure "ad azione positiva", ovvero la presa del pezzo avviene fintantoché c'è aria compressa.
Il circuito di alimentazione pneumatica delle pinze porta-pezzo sarà sorvegliato da un pressostato, grazie al quale, nel caso in cui vi sia una diminuzione della pressione necessaria, la logica di controllo arresterà in condizione di emergenza la zona di smerigliatura.
Nel caso in cui, quindi, vi sia una disalimentazione pneumatica alle pinze porta-pezzo del tipo "ad azione positiva", il pezzo potrebbe cadere e, nel caso peggiore, se il pezzo è a contatto con l’utensile, questo potrebbe essere proiettato (ma trattenuto all'interno della cabina di protezione, vedere RESS1.3.3). La condizione di rischio maggiore sarà quando la disalimentazione pneumatica avviene durante la programmazione, ovvero quando l'operatore addetto alla programmazione si troverà all'interno della zona di lavoro per osservare le operazioni.
ZONA DI PULITURA - Disalimentazione elettrica L'intera zona di pulitura dell'impianto verrà racchiusa da una cabina di protezione.
Durante il normale funzionamento dell'impianto, l'operatore stazionerà all'esterno della cabina, di fronte al quadro elettrico di zona o in corrispondenza della zona di carico/scarico dei pezzi.
In caso di disalimentazione elettrica tutte le utenze elettriche si fermeranno in tempi relativamente brevi.
L'accesso ai vari elementi mobili sarà comunque impedito, in quanto le porte di accesso della cabina di protezione avranno dispositivi di interblocco con bloccaggio del riparo del tipo power-to-release.
La mancanza di alimentazione determinerà anche la disinserzione della logica di sicurezza.
Al ritorno della fonte di alimentazione elettrica e per poter avviare l'impianto sarà richiesta un'azione manuale di inserzione/ripristino, la quale sarà effettuata attraverso il pulsante “RIPRISTINO AUSILIARI” della zona di pulitura.
ZONA DI PULITURA - Disalimentazione pneumatica In caso di disalimentazione pneumatica, il pressostato segnalerà l'anomalia e la logica di controllo fermerà immediatamente tutte le utenze. Il gruppo di trattamento principale della zona di pulitura su cui avviene l'allacciamento dell'aria compressa avrà un pressostato che impedirà l'avviamento della zona di pulitura. Tutte le elettrovalvole per gli attuatori che potrebbero costituire un pericolo a causa di un movimento inaspettato dovuto ad un guasto energetico saranno del tipo bistabile.
La presa dei pezzi nelle pinze porta-pezzo sarà ad azione pneumatica.
A seconda della conformazione del prodotto da lavorare, le pinze porta-pezzo potranno essere di tipo "normalmente chiusa", ovvero l'aria compressa aprirà la pinza per rilasciare il pezzo, oppure "ad azione positiva", ovvero la presa del pezzo avviene fintantoché c'è aria compressa.
Il circuito di alimentazione pneumatica delle pinze porta-pezzo sarà sorvegliato da un pressostato, grazie al quale, nel caso in cui vi sia una diminuzione della pressione necessaria, la logica di controllo arresterà in condizione di emergenza la zona di pulitura.
Nel caso in cui, quindi, vi sia una disalimentazione pneumatica alle pinze porta-pezzo del tipo "ad azione positiva", il pezzo potrebbe cadere e, nel caso peggiore, se il pezzo è a contatto con l’utensile, questo potrebbe essere proiettato (ma trattenuto all'interno della cabina di protezione, vedere RESS1.3.3). La condizione di rischio maggiore sarà quando la disalimentazione pneumatica avviene durante la programmazione, ovvero quando l'operatore addetto alla programmazione si troverà all'interno della zona di lavoro per osservare le operazioni.</t>
  </si>
  <si>
    <t xml:space="preserve">Nelle istruzioni dell'impianto si riporta l'avvertenza: durante i TEST porsi al di fuori della potenziale linea di proiezione sia del pezzo in lavorazione (qualora dovesse sfuggire dalla presa della pinza porta-pezza), sia del materiale asportato o degli utensili.
Segnaletica
3.13 Wear a face shield</t>
  </si>
  <si>
    <t xml:space="preserve">LIB-023</t>
  </si>
  <si>
    <t xml:space="preserve">1.3.1</t>
  </si>
  <si>
    <t xml:space="preserve">Rischio di perdita di stabilità</t>
  </si>
  <si>
    <t xml:space="preserve">Tutte le parti dell'impianto</t>
  </si>
  <si>
    <t xml:space="preserve">Normale; installazione; trasporto; smantellamento.</t>
  </si>
  <si>
    <t xml:space="preserve">11.3 Pericoli causati da mancanza di stabilità</t>
  </si>
  <si>
    <t xml:space="preserve">L’Impianto di smerigliatura e lucidatura rubinetteria viene progettato per eseguire in modo automatico le operazioni di smerigliatura e successivamente di pulitura di componenti di rubinetteria.
L'impianto sarà realizzato con due zone di lavoro, di smerigliatura e di pulitura, ognuna con una propria cabina di protezione e fonti di alimentazione.
La zona di smerigliatura sarà costituita dai seguenti elementi:
- Stazione di carico a doppio pallet;
- nr. 3 gruppi di smerigliatura, costituita da un robot antropomorfo e due smerigliatrici a nastro;
- nr. 2 dispositivi per il passaggio del pezzo da un gruppo di smerigliatura a un altro;
- Trasportatore a tappeto di scarico.
La zona di pulitura sarà costituita dai seguenti elementi:
- Tavola rotante con 5 gruppi porta-pezzi;
- nr. 4 unità di lucidatura CNC;
- Impianto della pasta abrasiva a servizio delle stazioni di lucidatura.
Ogni elemento dell'impianto avrà una propria struttura portante (ad esempio telaio in profili di alluminio, supporto in alluminio "avio", piedistallo in acciaio) che, a seconda dell'oggetto e della propria funzione operativa, sarà dimensionata a supportare la massa e gli sforzi operativi.
Tutti gli elementi dell'impianto saranno realizzati tenendo conto delle fasi di sollevamento e trasporto, e sia per l'installazione mediante l'ancoraggio al pavimento con opportuni tasselli.
Verranno date informazioni tramite le istruzioni.
Vedere le sezioni "Disegni" nel Fascicolo Tecnico.</t>
  </si>
  <si>
    <t xml:space="preserve">Le istruzioni dell'impianto riporteranno:
- Le masse degli elementi che formano l'impianto;
- I disegni per il loro sollevamento;
- I disegni con i punti per l'ancoraggio al pavimento;
- Indicazioni sul corretto trasporto, movimentazione e sulla corretta installazione in un sito appositamente predisposto.</t>
  </si>
  <si>
    <t xml:space="preserve">LIB-024</t>
  </si>
  <si>
    <t xml:space="preserve">1.3.2</t>
  </si>
  <si>
    <t xml:space="preserve">Rischio di rottura durante il funzionamento</t>
  </si>
  <si>
    <t xml:space="preserve">Zone di lavoro dell'impianto</t>
  </si>
  <si>
    <t xml:space="preserve">7.3.1 Eiezione inattesa di parti della macchina o di fluidi
7.3.2 Caduta o proiezione di oggetti o fluidi
7.3.3 Rotture durante il funzionamento</t>
  </si>
  <si>
    <t xml:space="preserve">Tutte le parti dell'impianto verranno realizzate e/o scelte per lavorare in un ambiente industriale coperto.
Tutte le parti dell'impianto verranno dimensionate tenendo conto degli sforzi ragionevolmente prevedibili cui sono sottoposte.
Tutte le stazioni di lavoro di ciascuna zona dell'impianto saranno posizionate all'interno di una cabina di protezione con pannelli fonoassorbenti e vetrate.
L'impianto utilizzerà anche energia pneumatica. La pressione di alimentazione dell'aria compressa sarà di 6 bar. Per quanto riguarda il circuito pneumatico di alimentazione delle pinze porta-pezzo, questo lavorerà fino a 10 bar.
Le tubature dell'impianto pneumatico e i relativi connettori saranno idonee all'esercizio previsto.
Vedere i "Disegni complessivi" e i "Disegni di dettaglio" all'interno del Fascicolo Tecnico.
Vedere gli "Schemi meccanici" all'interno del Fascicolo Tecnico.
Vedere la documentazione dei componenti di commercio all'interno del Fascicolo Tecnico.</t>
  </si>
  <si>
    <t xml:space="preserve">Norme A: EN ISO 12100 Norme B: EN ISO 4414 | Norme: ISO/TR 14121-2</t>
  </si>
  <si>
    <t xml:space="preserve">LIB-025</t>
  </si>
  <si>
    <t xml:space="preserve">1.3.3</t>
  </si>
  <si>
    <t xml:space="preserve">Rischi dovuti alla caduta o alla proiezione di oggetti</t>
  </si>
  <si>
    <t xml:space="preserve">Cabina di protezione e ripari</t>
  </si>
  <si>
    <t xml:space="preserve">Se presente cabina con porte di accesso</t>
  </si>
  <si>
    <t xml:space="preserve">Zone di lavoro dell'impianto - spazi protetti dalle cabine di protezione</t>
  </si>
  <si>
    <t xml:space="preserve">7.2.4 Caduta o proiezione di parti in movimento o pezzi trattenuti dal macchinario
7.3.2 Caduta o proiezione di oggetti o fluidi</t>
  </si>
  <si>
    <t xml:space="preserve">L'impianto sarà realizzato con due zone di lavoro, di smerigliatura e di pulitura, ognuna con una propria cabina di protezione e fonti di alimentazione.
Durante il normale funzionamento dell'impianto, l'operatore stazionerà all'esterno delle cabine, principalmente in corrispondenza della zona di scarico dei pezzi dalla zona di smerigliatura e della zona di carico/scarico pezzi della zona di pulitura. Quando necessario, si porterà in zona di carico per il rifornimento dei pezzi da smerigliare.
Le spazzole delle lucidatrici saranno montate mediante un sistema canotto/dado di bloccaggio.
Le pinze di presa saranno montate sulle stazioni di lavoro (robot antropomorfi e gruppi porta-pezzo della tavola rotante) mediante due viti di bloccaggio.
Le pinze porta-pezzo vengono progettate per garantire la presa del pezzo durante le lavorazioni di smerigliatura e di pulitura.
La presa dei pezzi nelle pinze porta-pezzo avverrà pneumaticamente.
La tipologia di pinza porta-pezzo maggiormente usata nell'impianto è di tipo "normalmente chiusa", ovvero l'aria compressa aprirà la pinza per rilasciare il pezzo. Tuttavia, alcune tipologie di pinze saranno "ad azione positivo", ovvero la presa del pezzo avviene fintantoché c'è aria compressa.
In generale, le pinze porta-pezzo e il sistema di alimentazione pneumatico saranno progettati per garantire la buona tenuta del pezzo durante le lavorazioni. La pressione dei circuiti pneumatici delle pinze porta-pezzo sarà sorvegliata in modo tale che al di fuori di un determinato range operativo vi sia una condizione di allarme. Per quanto riguarda un guasto alla fonte di alimentazione vedere il RESS 1.2.6.
Nel caso in cui vi sia un guasto o un'anomalia e una parte, come il pezzo, ecc., venga rilasciato e quindi proiettato, questa verrà trattenuta dalle protezioni perimetrali.
Vedere la sezione "Disegni" del Fascicolo Tecnico.
Vedere la sezione "Altra documentazione di commercio" per vedere le schede tecniche dei pannelli e dei ventri antisfondamento delle cabine di protezione.</t>
  </si>
  <si>
    <t xml:space="preserve">Nelle istruzioni dell'impianto verranno riportate le procedure per la sostituzione degli utensili e delle parti dell'impianto legate al codice di prodotto da lavorare (pinze porta-pezzo, pallet portapezzi).</t>
  </si>
  <si>
    <t xml:space="preserve">LIB-026</t>
  </si>
  <si>
    <t xml:space="preserve">VRQ-002</t>
  </si>
  <si>
    <t xml:space="preserve">Zona di lavoro dell'impianto - in prossimità delle stazioni di lavoro che devono essere programmate (ciclo TEST)</t>
  </si>
  <si>
    <t xml:space="preserve">Programmazione.</t>
  </si>
  <si>
    <t xml:space="preserve">7.2.4 Caduta o proiezione di parti in movimento o pezzi trattenuti dal macchinario
7.3.2 Caduta o proiezione di oggetti o fluidi
9.3.1 Pericoli provocati da errore umano, comportamento umano</t>
  </si>
  <si>
    <t xml:space="preserve">Per la tipologia di lavorazioni svolte dall’impianto, l’operatore addetto alla programmazione avrà la necessità di operare in prossimità degli organi mobili, in modo da verificare non solo la correttezza della ricetta che dovrà creare, ma anche la qualità delle operazioni di smerigliatura/pulitura svolte, garantendo la precisione delle lavorazioni sul pezzo.
Nonostante le condizioni di sicurezza in cui lavorerà l'operatore (vedere RESS 1.2.5), un errore da parte dell'operatore addetto alla programmazione può generare una situazione in cui la presa del pezzo venga meno, o un'interferenza tra le parti delle stazioni di lavoro, comportandone la caduta/proiezione/rottura.
Per quanto riguarda un guasto alla fonte di alimentazione vedere il RESS 1.2.6.
Si daranno indicazioni nelle istruzioni.</t>
  </si>
  <si>
    <t xml:space="preserve">Nelle istruzioni dell'impianto si riporterà:
- L'operatore addetto alla programmazione deve essere stato addestrato opportunamente nell'eseguire i suoi compiti ed aver compreso i pericoli in cui incorre stazionando nelle zone di lavoro dell’impianto (all’interno delle cabina di protezione).
- Durante la programmazione porsi al di fuori della potenziale linea di proiezione sia del pezzo in lavorazione (qualora dovesse sfuggire dalla presa della pinza porta-pezza), sia del materiale asportato o degli utensili (spazzole, nastri abrasivi).
- L'operatore addetto alla programmazione deve indossare uno schermo protettivo del volto.
Segnaletica
3.13 Wear a face shield</t>
  </si>
  <si>
    <t xml:space="preserve">LIB-027</t>
  </si>
  <si>
    <t xml:space="preserve">Pistole spruzzatrici</t>
  </si>
  <si>
    <t xml:space="preserve">Manutenzione; sblocco anomalie.</t>
  </si>
  <si>
    <t xml:space="preserve">1.1.9 Pericolo di eiezione di fluido ad alta pressione</t>
  </si>
  <si>
    <t xml:space="preserve">L’Impianto di smerigliatura e lucidatura rubinetteria viene progettato per eseguire in modo automatico le operazioni di smerigliatura e successivamente di pulitura di componenti di rubinetteria.
In particolare, per le operazioni di lucidatura, l'impianto utilizzerà pasta abrasiva, che verrà spruzzata direttamente sulla spazzola di lucidatura.
Le pistole spruzzatrici saranno un prodotto di commercio e verranno alimentate pneumaticamente.
A misura di protezione verranno date informazioni nelle istruzioni dell'impianto.</t>
  </si>
  <si>
    <t xml:space="preserve">Nelle istruzioni dell'impianto si riporterà:
- Quando si deve intervenire sulle pistole di spruzzatura, indossare sempre tutti i dispositivi di protezione individuale previsti;
- Prima di avvicinarsi alle pistole spruzzatrici della pasta liquida, accertarsi che le pompe siano disalimentate e prive di pressione o che il loro circuito di alimentazione sia stato chiuso;
- Mai porsi sotto all’ugello di spruzzatura.</t>
  </si>
  <si>
    <t xml:space="preserve">LIB-028</t>
  </si>
  <si>
    <t xml:space="preserve">VRQ-201</t>
  </si>
  <si>
    <t xml:space="preserve">Tavola rotante – carico/scarico</t>
  </si>
  <si>
    <t xml:space="preserve">Se presente tavola rotante con carico/scarico manuale</t>
  </si>
  <si>
    <t xml:space="preserve">Varco di carico/scarico della zona di pulitura</t>
  </si>
  <si>
    <t xml:space="preserve">7.3.2 Caduta o proiezione di oggetti o fluidi</t>
  </si>
  <si>
    <t xml:space="preserve">Intorno al gruppo porta-pezzo della tavola rotante in posizione di carico/scarico vi sarà una protezione flessibile (tenda) che impedirà la fuoriuscita di materiale o pezzo dal varco per il carico/scarico</t>
  </si>
  <si>
    <t xml:space="preserve">LIB-029</t>
  </si>
  <si>
    <t xml:space="preserve">1.3.4</t>
  </si>
  <si>
    <t xml:space="preserve">Rischi dovuti a superfici, spigoli od angoli</t>
  </si>
  <si>
    <t xml:space="preserve">Le parti dell'impianto che possono risultare taglienti o con spigoli vivi</t>
  </si>
  <si>
    <t xml:space="preserve">1.1.3 Pericolo di taglio o di sezionamento
1.1.8 Pericolo di attrito o di abrasione</t>
  </si>
  <si>
    <t xml:space="preserve">Tutte le parti dell'impianto in cui non saranno previste per esigenze funzionali parti a spigolo vivo o taglienti saranno smussate e/o levigate. Per quanto possibile la sagoma delle parti dell'impianto verrà realizzata in modo da eliminare o ridurre al minimo le parti sporgenti (fuori sagoma).
Vedere la sezione "Disegni" del Fascicolo Tecnico.
Segnaletica
3.9 Wear protective gloves</t>
  </si>
  <si>
    <t xml:space="preserve">LIB-030</t>
  </si>
  <si>
    <t xml:space="preserve">1.3.7</t>
  </si>
  <si>
    <t xml:space="preserve">Rischi dovuti agli elementi mobili</t>
  </si>
  <si>
    <t xml:space="preserve">Non specificata.</t>
  </si>
  <si>
    <t xml:space="preserve">L’Impianto di smerigliatura e lucidatura rubinetteria viene progettato per eseguire in modo automatico le operazioni di smerigliatura e, successivamente, di pulitura di componenti di rubinetteria.
L'impianto sarà realizzato con due zone di lavoro, di smerigliatura e di pulitura, ognuna con una propria cabina di protezione e fonti di alimentazione.
La zona di smerigliatura sarà costituita dai seguenti elementi:
- Stazione di carico a doppio pallet;
- nr. 3 gruppi di smerigliatura, costituiti da un robot antropomorfo e due smerigliatrici a nastro;
- nr. 2 dispositivi per il passaggio del pezzo da un gruppo di smerigliatura a un altro;
- Trasportatore a tappeto di scarico.
La zona di pulitura sarà costituita dai seguenti elementi:
- Tavola rotante con 5 gruppi porta-pezzi;
- nr. 4 unità di lucidatura CNC;
- Impianto della pasta abrasiva a servizio delle stazioni di lucidatura.</t>
  </si>
  <si>
    <t xml:space="preserve">Norme A: EN ISO 12100 Norme B: EN ISO 13857; EN 349 | Norme: ISO/TR 14121-2</t>
  </si>
  <si>
    <t xml:space="preserve">LIB-031</t>
  </si>
  <si>
    <t xml:space="preserve">Zona smerigliatura – generale</t>
  </si>
  <si>
    <t xml:space="preserve">Se presente zona di smerigliatura</t>
  </si>
  <si>
    <t xml:space="preserve">Zona di smerigliatura</t>
  </si>
  <si>
    <t xml:space="preserve">Normale; manutenzione; situazione di emergenza; regolazione / attrezzamento; sblocco anomalie; regolazione;
programmazione.</t>
  </si>
  <si>
    <t xml:space="preserve">La zona di smerigliatura eseguirà la prima fase lavorativa sui componenti di rubinetteria.
La zona di smerigliatura sarà costituita dai seguenti elementi:
- Stazione di carico a doppio pallet;
- nr. 3 gruppi di smerigliatura, costituita da un robot antropomorfo e due smerigliatrici a nastro;
- nr. 2 dispositivi per il passaggio del pezzo da un gruppo di smerigliatura a un altro;
- Trasportatore a tappeto di scarico.
La zona di smerigliatura sarà racchiusa con una cabina di protezione con porte di accesso interbloccate.
Sulle porte di accesso, verrà apposto il cartello di avvertenza di "divieto di accesso alle persone non autorizzate".
Il primo robot antropomorfo A preleverà un pezzo alla volta da un pallet porta-pezzi della stazione di carico (slitta porta-pallet posizionata in avanti) e lo porterà, a seconda delle impostazioni del programma di lavoro, a contatto con l’utensile della smerigliatrice a nastro A1 e/o della smerigliatrice a nastro A3.
Una volta ultimato il proprio ciclo di smerigliatura, il robot antropomorfo A depositerà il pezzo sul primo dispositivo di scambio.
Il secondo robot antropomorfo B preleverà il pezzo dal primo dispositivo di scambio e lo porterà, a seconda delle impostazioni del programma di lavoro, a contatto con l’utensile della smerigliatrice a nastro B1 e/o della smerigliatrice a nastro B3.
Una volta ultimato il proprio ciclo di smerigliatura, il robot antropomorfo B depositerà il pezzo sul secondo dispositivo di scambio.
Il terzo robot antropomorfo C preleverà il pezzo dal secondo dispositivo di scambio e lo porterà, a seconda delle impostazioni del programma di lavoro, a contatto con l’utensile della smerigliatrice a nastro C1 e/o della smerigliatrice a nastro C3.
Una volta ultimato il proprio ciclo di smerigliatura, il robot antropomorfo C depositerà il pezzo sul trasportatore a tappeto di scarico.
Il trasportatore a tappeto avanzerà piano piano per accumulare e spostare i prodotti smerigliati all'esterno della cabina di protezione.
La zona di smerigliatura verrà ulteriormente divisa nelle seguenti sottozone:
- sottozona di carico, dove l'operatore potrà eseguire il caricamento dei pezzi da lavorare sui pallet della stazione di carico;
- sottozona di lavoro di smerigliatura, dove opereranno tutti i gruppi di smerigliatura;
- sottozona di scarico, dove l'operatore rimuoverà i prodotti smerigliati dal tappeto del trasportatore di scarico per caricarli, uno alla volta sulla posizione di carico/scarico della tavola rotante.
La sottozona di carico comprenderà quindi metà corsa delle slitte della stazione di carico a doppio pallet (posizione indietro).
La sottozona di scarico comprenderà la parte finale del trasportatore a tappeto di scarico.
Per le ulteriori valutazioni sugli elementi mobili della zona di carico, si vedano le schede di valutazione VRQ-11x del presente requisito.
Per le ulteriori valutazioni sugli elementi mobili della sottozona di lavoro di smerigliatura, si vedano le schede di valutazione VRQ-12x del presente requisito.
Per le ulteriori valutazioni sugli elementi mobili della sottozona di scarico, si vedano le schede di valutazione VRQ-13x del presente requisito.
Segnaletica
2.2.4 Vietato l'accesso</t>
  </si>
  <si>
    <t xml:space="preserve">LIB-032</t>
  </si>
  <si>
    <t xml:space="preserve">VRQ-110</t>
  </si>
  <si>
    <t xml:space="preserve">Stazione di carico a doppio pallet</t>
  </si>
  <si>
    <t xml:space="preserve">Se presente stazione di carico a pallet</t>
  </si>
  <si>
    <t xml:space="preserve">Zona di smerigliatura - SOTTOZONA DI CARICO</t>
  </si>
  <si>
    <t xml:space="preserve">1.1.1 Pericolo di schiacciamento
1.1.2 Pericolo di cesoiamento
1.1.6 Pericolo di urto
1.2.2 Posizione relativa (può generare zone di schiacciamento, di cesoiamento, di impigliamento, ecc. quando le parti sono in movimento)</t>
  </si>
  <si>
    <t xml:space="preserve">La sottozona di carico corrisponderà a metà spazio di movimentazione della stazione di carico.
In altre parole, la stazione di carico a doppio pallet sarà posta a cavallo tra la sottozona di carico e la sottozona di lavoro di smerigliatura.
I pallet porta-pezzi, posizionati sui carrelli delle slitte della stazione di carico, quando spostati in avanti saranno all'interno dello spazio di lavoro in modo che il robot A possa afferrare i pezzi da lavorare; quando saranno spostati indietro, saranno all'interno dello spazio dove l'operatore potrà portarsi per eseguire il carico dei pezzi da lavorare.
Questo sistema consentirà le operazioni manuali di carico dei pezzi su un pallet, mentre il robot A potrà continuare con il suo processo automatico, prelevando i pezzi dall'altro pallet.
Ciascun carrello porta-pallet scorrerà su una coppia di aste cilindriche con bussole a ricircolo di sfere, azionato da un cilindro pneumatico senza stelo: quando il carrello porta-pallet sarà tutto indietro esso si troverà nella zona di carico, quando sarà tutto avanti esso si troverà in zona di lavoro.
La zona di carico sarà circoscritta da ripari fissi, facenti parte integrante della cabina di protezione della zona di smerigliatura.
Sul lato frontale della sottozona di carico sarà presente una grande porta di accesso, scorrevole verticalmente, interbloccata con bloccaggio del riparo. Per quanto riguarda la porta di accesso alla sottozona di carico, vedere anche la scheda di valutazione VRQ-110 del RESS 1.4.1 e VRQ-100 del RESS 1.4.2.2.
Sul lato posteriore della sottozona di carico, sarà presente un varco per il passaggio alla sottozona di lavoro di smerigliatura dei due carrelli con il proprio pallet porta-pezzi.
Questo varco sarà di dimensioni il più ridotte possibile:
- Non vi sarà possibilità di accesso da sotto i carrelli porta-pallet, né lateralmente né tra i due caricatori;
- Superiormente sarà lasciato il solo varco per il passaggio del carrello con pallet e pezzi;
- Sia quando i carrelli porta-pallet saranno posizionati dentro o fuori la sottozona di carico, sarà garantita la distanza di sicurezza tra il varco e il robot A con pinza (nella sua posizione più sfavorevole) nel rispetto della norma EN ISO 13857.
- Se le condizioni d'uso e la costruzione dell'impianto non consentiranno di applicare la norma EN ISO 13857, verranno installate delle barriere fotoelettriche sul varco tra le due sottozone a protezione di un eventuale accesso alla sottozona di smerigliatura quando la porta di accesso alla sottozona di carico sarà sbloccata. Le barriere fotoelettriche verranno scelte e posizionate nel rispetto della norma EN ISO 13855. Per il livello di prestazione richiesto per queste barriere fotoelettriche, vedere la scheda di valutazione VRQ-120 del presente requisito.
In corrispondenza del varco, verrà apposto il cartello di avvertenza di "divieto di accesso".
Per ulteriori indicazioni su questo varco vedere la scheda di valutazione VRQ-120 del presente requisito.
Durante il normale funzionamento dell'impianto, quando un pallet porta-pezzi verrà vuotato dal robot, se le condizioni di sicurezza lo consentono (nessuna emergenza attiva, porte interbloccate di accesso alla zona di smerigliatura chiuse), esso si porterà tutto indietro, all'interno della sottozona di carico.
In questa condizione, la porta di accesso alla sottozona di carico verrà automaticamente sbloccata e verrà segnalata la necessità di rifornimento pezzi.
Con porta di accesso alla sottozona di carico sbloccata, i carrelli porta-pallet non potranno muoversi.
Una volta caricato il pallet con i pezzi da lavorare, l'operatore dovrà uscire dalla sottozona di carico, chiudere la porta di accesso, ed eseguire la procedura di bloccaggio porta e richiesta cambio pallet, tramite i comandi della pulsantiera locale.
Segnaletica
4.14 No reaching in</t>
  </si>
  <si>
    <t xml:space="preserve">LIB-033</t>
  </si>
  <si>
    <t xml:space="preserve">VRQ-120</t>
  </si>
  <si>
    <t xml:space="preserve">Gruppo di smerigliatura (robot + smerigliatrici a nastro)</t>
  </si>
  <si>
    <t xml:space="preserve">Se presente robot con smerigliatrici a nastro</t>
  </si>
  <si>
    <t xml:space="preserve">Zona di smerigliatura - SOTTOZONA DI LAVORO DI SMERIGLIATURA</t>
  </si>
  <si>
    <t xml:space="preserve">Normale; regolazione / attrezzamento.</t>
  </si>
  <si>
    <t xml:space="preserve">1.1.1 Pericolo di schiacciamento
1.1.2 Pericolo di cesoiamento
1.1.3 Pericolo di taglio o di sezionamento
1.1.4 Pericolo di impigliamento
1.1.6 Pericolo di urto
1.1.8 Pericolo di attrito o di abrasione
1.2.1 Forma (elementi taglienti, spigoli vivi, pezzi di forma aguzza anche se sono immobili)
1.2.2 Posizione relativa (può generare zone di schiacciamento, di cesoiamento, di impigliamento, ecc. quando le parti sono in movimento)</t>
  </si>
  <si>
    <t xml:space="preserve">La sottozona di lavoro di smerigliatura comprenderà tutti quegli elementi dell'impianto necessari alle prime fasi di lavorazione dei pezzi, ovvero la loro smerigliatura.
Gli elementi mobili della zona di smerigliatura saranno:
- I carrelli con pallet porta-pezzo della stazione di carico, per metà della loro corsa di spostamento - posizione avanti);
- I tre robot antropomorfi;
- Le pinze di presa del pezzo montate sui robot antropomorfi;
- Le sei smerigliatrici a nastro (asse U, asse Z, rotazione delle ruote e del nastro abrasivo);
- I due dispositivi per il passaggio del pezzo da un gruppo di smerigliatura a un altro (rotazione 0-180° e viceversa, apri/chiudi porta-pezzo);
- La parte iniziale del nastro trasportatore di scarico.
La sottozona di smerigliatura sarà circoscritta da ripari fissi, facenti parte integrante della cabina di protezione della zona di smerigliatura.
Per accedere alla sottozona di smerigliatura saranno presenti una serie di porte di accesso (a battente o scorrevoli) interbloccate con bloccaggio del riparo. Per quanto riguarda le porte di accesso alla sottozona di lavoro di smerigliatura, vedere anche la scheda di valutazione VRQ-001 del RESS 1.4.1 e il RESS 1.4.2.2.
Durante il normale funzionamento della zona di smerigliatura (sia in modalità automatica che manuale), qualsiasi movimento o attuatore della sottozona di lavoro potrà essere attivato solo ed esclusivamente con le porte interbloccate di accesso alla sottozona di smerigliatura chiuse e bloccate.
Per accedere alla sottozona di lavoro sarà necessario posizionare il selettore a chiave di modalità su "SBLOCCA PORTE". In questa condizione:
- tutte le utenze elettriche della zona di smerigliatura saranno in arresto sicuro e per la ripartenza sarà richiesto un ripristino manuale (vedere RESS 1.2.3);
- i circuiti pneumatici rimarranno in pressione al fine di mantenere stabili le utenze pneumatiche, come la tensione del nastro abrasivo delle smerigliatrici, la presa dei pezzi nelle pinze ad azione positiva.
Se la selezione di “sblocco porte” comporterà un “impegnativo” riposizionamento dei robot per la successiva ripartenza in automatico (per esempio il robot dovrà essere portato in home), o se non le parti mobili pericolose non si fermeranno prima che l’operatore possa accedere e raggiungerle, verrà previsto un tempo di ritardo per lo sblocco a seguito del comando di arresto, in modo da garantire che le parti si fermino nel tempo e nei modi utili.
Con le porte interbloccate aperte della zona di lavoro di smerigliatura, l'operatore potrà sostituire velocemente i nastri abrasivi.
Per quanto riguarda la sostituzione delle pinze porta-pezzo, invece, è necessario, preliminarmente, scaricare completamente il circuito pneumatico di alimentazione di tutte le pinze porta-pezzo. Vengono date informazioni nelle istruzioni d'uso.
Per quanto riguarda il varco per il passaggio dei due carrelli con pallet porta-pezzi tra la sottozona di carico e la sottozona di smerigliatura, vedere quanto indicato nella scheda di valutazione VRQ-110 del presente requisito.
Per quanto riguarda l'uscita dei pezzi smerigliati dalla cabina di protezione, sul lato sinistro della cabina, sopra al trasportatore di scarico vi sarà un varco per il loro passaggio.
Il tappeto del trasportatore di scarico sarà alto circa 1000-1100 mm da terra.
Da sotto il trasportatore non sarà possibile accedere all'interno della zona di lavoro.
Il varco sarà largo quanto il nastro trasportatore, e sarà alto quanto l'altezza del pezzo lavorabile più grande maggiorata di 50
mm.
Sarà garantita la distanza di sicurezza tra il varco di scarico e il robot C con pinza (nella sua posizione più sfavorevole) nel rispetto della norma EN ISO 13857, se del caso realizzando un tunnel di protezione.
Vedere la sezione "Analisi per la sicurezza" del Fascicolo Tecnico.
I robot antropomorfi saranno componenti di commercio, con propri dispositivi di controllo e comando, certificati a norma EN ISO 10218-1.
Ciascun robot antropomorfo sarà dotato di mezzi integrati, software (dispositivi di limitazione non meccanica) e/o hardware (dispositivi di limitazione meccanica), che limitano lo spazio entro la cabina di protezione in cui il robot potrà muoversi, definito spazio ristretto.
Lo spazio ristretto verrà determinato in base alle esigenze operative e di sicurezza, considerando anche l'ubicazione delle postazioni di lavoro degli operatori.
Nella determinazione dello spazio ristretto di ciascun robot con dispositivi di limitazione non meccanica si terrà conto di:
- distanza di arresto associata;
- velocità massima del robot;
- carico del robot (compreso la pinza di presa e il pezzo in presa).
I dispositivi di limitazione dello spazio di movimentazione del robot avranno un livello di prestazione PLr=d con struttura in categoria 3.
Vedere la documentazione tecnica dei componenti di commercio raccolta nel Fascicolo Tecnico.
Vedere la sezione "Analisi per la sicurezza" del Fascicolo Tecnico per le relazioni dei sistemi di comando legate alla sicurezza e i documenti di validazione degli spazi ristretti di movimentazione dei robot.</t>
  </si>
  <si>
    <t xml:space="preserve">Nelle istruzioni dell'impianto si riporterà:
- la procedura di accesso alla zona di smerigliatura;
- la procedura di sostituzione degli utensili;
- la procedura di sostituzione delle pinze porta-pezzo con l'avvertenza di sezionare e scaricare il relativo circuito pneumatico di alimentazione prima di iniziare l'intervento;
- l'obbligo di portare con sé la chiave del selettore modale della zona di smerigliatura quando si entra all'interno della cabina di protezione della zona di smerigliatura.</t>
  </si>
  <si>
    <t xml:space="preserve">Manca la stima del rischio finale nel documento originale.</t>
  </si>
  <si>
    <t xml:space="preserve">LIB-034</t>
  </si>
  <si>
    <t xml:space="preserve">VRQ-121</t>
  </si>
  <si>
    <t xml:space="preserve">Programmazione; Sblocco anomalie.</t>
  </si>
  <si>
    <t xml:space="preserve">1.1.1 Pericolo di schiacciamento
1.1.2 Pericolo di cesoiamento
1.1.3 Pericolo di taglio o di sezionamento
1.1.4 Pericolo di impigliamento
1.1.5 Pericolo di trascinamento o d'intrappolamento
1.1.6 Pericolo di urto
1.1.8 Pericolo di attrito o di abrasione
1.2.1 Forma (elementi taglienti, spigoli vivi, pezzi di forma aguzza anche se sono immobili)
1.2.2 Posizione relativa (può generare zone di schiacciamento, di cesoiamento, di impigliamento, ecc. quando le parti sono in movimento)</t>
  </si>
  <si>
    <t xml:space="preserve">Per consentire la programmazione di una ricetta, che dovrà essere eseguita da uno dei tre gruppi di smerigliatura, l'operatore addetto alla programmazione dovrà:
- posizionare il selettore a chiave di modalità della zona di smerigliatura su "SBLOCCA PORTE";
- posizionare il selettore a chiave di modalità del robot antropomorfo interessato all'intervento su "MANUALE";
- usare il relativo terminale portatile (pendente) del robot, premendo il suo dispositivo di abilitazione a tre posizioni.
Ciascun robot sarà dotato di un proprio quadro controller e pendente con cavo.
Il robot sarà dotato di selettore modale a chiave, con cui sarà possibile selezionare la modalità “automatica” e manuale in velocità ridotta (T1).
Il selettore modale del robot e il pendente saranno dispositivi forniti insieme al robot antropomorfo, il quale è un componente di commercio, certificato ai sensi della norma EN ISO 10218-1.
La funzione di selezione della modalità dei robot avrà un livello di prestazione PLr=d con struttura in categoria 3.
La funzione di abilitazione dei pendenti avrà un livello di prestazione PLr=d con struttura in categoria 3.
La modalità operativa verrà quindi selezionata individualmente per ciascun robot.
Quando si seleziona la modalità manuale di un robot:
- se in esecuzione, si uscirà dal ciclo di lavoro in corso;
- tutte le parti mobili, compresi gli altri due gruppi di smerigliatura (robot e smerigliatrici a nastro), si fermeranno in arresto protettivo;
- con il pendente del robot sarà possibile comandare anche le due smerigliatrici a nastro del proprio gruppo (una smerigliatrice alla volta, un asse alla volta e a velocità ridotta - max 33 mm/s, o il nastro).
Se il robot sarà dotato anche della modalità manuale ad alta velocità (T2), si avrà anche:
- Una distanza minima di 500 mm tra la posizione di arresto calcolata del pericolo e le protezioni perimetrali e le altre attrezzature della zona di smerigliatura che non devono interagire con il robot stesso in modo che non vi sia schiacciamento o intrappolamento.
Oppure
- Uno spazio all’interno della zona protetta, che possa garantire una distanza minima di 500 mm dalla posizione di arresto calcolata del robot (comprensivo di pinza di presa e prodotto), in cui l’operatore stazionerà per la conduzione con il pendente.
Un ulteriore dispositivo facente funzione di abilitazione darà alla logica di controllo la conferma della posizione dell’operatore.
Ovvero, i comandi potranno essere dati solo se sia il dispositivo di abilitazione del pendente che il dispositivo scelto di controllo presenza operatore (come ad esempio pedale di comando, tappeto sensibile, ecc.) saranno attivi contemporaneamente. La funzione di abilitazione “controllo posizione operatore” dovrà avere un livello di prestazione PLr=d.
Oppure
- La modalità manuale ad alta velocità (T2) potrà essere utilizzata solo con operatore all’esterno della zona protetta e con porte di accesso chiuse e bloccate.
Verranno date informazioni nelle istruzioni.</t>
  </si>
  <si>
    <t xml:space="preserve">Nelle istruzioni dell'impianto si riporta:
- Solo personale addestrato alla programmazione dei robot può utilizzare i terminali portatili dei robot;
- Solo il personale addetto alla programmazione dei robot può usare la chiave di selezione della modalità di ciascun robot;
- La chiave di selezione della modalità di ciascun robot non deve essere mai lasciata sul quadro controller dei robot;
- Mai lasciare i robot in modalità manuale.
- Quando si è all'interno della cabina di protezione per la programmazione dei robot, indossare tutti i dispositivi di protezione individuale previsti.</t>
  </si>
  <si>
    <t xml:space="preserve">LIB-035</t>
  </si>
  <si>
    <t xml:space="preserve">VRQ-122</t>
  </si>
  <si>
    <t xml:space="preserve">Trasportatore a tappeto di scarico</t>
  </si>
  <si>
    <t xml:space="preserve">Se presente trasportatore di scarico</t>
  </si>
  <si>
    <t xml:space="preserve">Zona di smerigliatuta - azionamento trasportatore di scarico</t>
  </si>
  <si>
    <t xml:space="preserve">Il trasportatore a tappeto riceverà e accumulerà i pezzi smerigliati e, avanzando, porterà i pezzi all'esterno della cabina di protezione della zona di smerigliatura.
L'operatore addetto alla conduzione dovrà rimuovere manualmente i prodotti dal trasportatore.
Il trasportatore di scarico sarà a tappeto.
Il trasportatore di scarico avrà un'altezza di circa 1000-1100 mm.
Il trasportatore di scarico sarà posizionato a cavallo tra la sottozona di smerigliatura e la sottozona di scarico.
Per il varco realizzato sulla cabina di protezione per l'uscita dei pezzi, vedere la scheda di valutazione VRQ-120 del presente requisito.
Il motoriduttore di azionamento sarà calettato direttamente al rullo motore di traino del tappeto del trasportatore di scarico.</t>
  </si>
  <si>
    <t xml:space="preserve">LIB-036</t>
  </si>
  <si>
    <t xml:space="preserve">Zona pulitura – generale</t>
  </si>
  <si>
    <t xml:space="preserve">Se presente zona di pulitura</t>
  </si>
  <si>
    <t xml:space="preserve">Zona di pulitura</t>
  </si>
  <si>
    <t xml:space="preserve">La zona di pulitura eseguirà l'ultima fase lavorativa sui componenti di rubinetteria.
La zona di pulitura sarà costituita dai seguenti elementi:
- Tavola rotante con 5 gruppi porta-pezzi;
- nr. 4 unità di lucidatura CNC;
- Impianto della pasta abrasiva a servizio delle stazioni di lucidatura.
La zona di pulitura sarà racchiusa con una cabina di protezione con porte di accesso interbloccate.
Sulle porte di accesso, verrà apposto il cartello di avvertenza di "divieto di accesso alle persone non autorizzate".
La tavola rotante porterà i pezzi da lavorare (in presa sui suoi cinque gruppi porta-pezzi) in corrispondenza delle unità di smerigliatura CNC e in posizione di carico/scarico.
In questo modo, ogni pezzo subirà in ordine la sequenza di pulitura prevista da programma, per ritornare poi alla posizione iniziale, dove verrà prelevato manualmente dall'operatore addetto alla conduzione.
In altre parole, il ciclo di lavoro della zona di pulitura consisterà nei seguenti passi, considerando tutti i gruppi porta-pezzo della tavola con un pezzo da lavorare in presa:
- Rotazione della tavola rotante di un passo;
- Esecuzione del ciclo di lucidatura previsto di tutte e quattro le unità di lucidatura in coordinamento con il corrispondente gruppo porta-pezzo;
- Durante l'esecuzione dei cicli di lucidatura, scarico del prodotto lavorato e carico di uno nuovo da lavorare sul gruppo porta-pezzo della tavola in posizione di carico/scarico;
- Al termine del proprio ciclo di lucidatura l'unità di lucidatura CNC e il relativo gruppo porta-pezzo si portano in posizione di inizio ciclo;
- Una volta che tutte le stazioni di lavoro hanno terminato il loro ciclo di lavoro, la sequenza si ripeterà dal primo passo.
La posizione di carico/scarico della tavola rotante sarà in corrispondenza di un varco, dimensionato per consentire all'operatore di introdurre le mani e raggiungere il solo gruppo porta-pezzo interessato all'operazione (vedere VRQ-210 e VRQ-211 del presente RESS).
Segnaletica
2.2.4 Vietato l'accesso</t>
  </si>
  <si>
    <t xml:space="preserve">LIB-037</t>
  </si>
  <si>
    <t xml:space="preserve">VRQ-210</t>
  </si>
  <si>
    <t xml:space="preserve">Postazione di carico/scarico della zona di pulitura Posizione di carico/scarico del gruppo porta-pezzo della tavola rotante</t>
  </si>
  <si>
    <t xml:space="preserve">1.1.1 Pericolo di schiacciamento
1.1.2 Pericolo di cesoiamento
1.1.4 Pericolo di impigliamento
1.1.6 Pericolo di urto
1.2.1 Forma (elementi taglienti, spigoli vivi, pezzi di forma aguzza anche se sono immobili)
1.2.2 Posizione relativa (può generare zone di schiacciamento, di cesoiamento, di impigliamento, ecc. quando le parti sono in movimento)</t>
  </si>
  <si>
    <t xml:space="preserve">Ad ogni passo di rotazione della tavola rotante, i pezzi in presa sui gruppi porta-pezzo della tavola stessa, verranno portati in corrispondenza delle unità di lucidatura CNC e della posizione di carico /scarico.
La posizione di carico/scarico sarà di fronte a una porta di accesso interbloccata della cabina di protezione della zona di pulitura, la quale avrà un varco protetto da barriera fotoelettrica, attraverso il quale l'operatore potrà accedere al solo gruppo porta-pezzo della tavola da caricare/scaricare.
Questo sistema consentirà le operazioni manuali di carico/scarico dei pezzi sulla tavola rotante, mantenendo attivo il ciclo di lavoro automatico della zona di pulitura.
Il varco sarà posizionato ad una altezza da terra e avrà dimensioni tali da non consentire di raggiungere gli organi mobili delle altre stazioni di lavoro all'interno della zona di lucidatura che rimangono attive, nel rispetto della norma EN ISO 13857.
Inoltre, intorno al gruppo porta-pezzo della tavola rotante in posizione di carico/scarico vi sarà una protezione flessibile (tenda) che impedisce la fuoriuscita di materiale o pezzo dal varco per il carico/scarico (vedere RESS 1.3.3). Questa protezione farà da ostacolo a raggiungere le altre stazioni di lavoro dal varco di carico/scarico.
L'intera altezza del varco sarà coperta dal fascio protettivo della barriera fotoelettrica.
Non sarà quindi possibile accedere attraverso il varco da nessun altro lato, superiormente, lateralmente e così via.
In generale, la violazione del fascio della barriera fotoelettrica comporterà un arresto di emergenza dell'intera zona di pulitura.
La funzione di arresto della zona di pulitura data dalla barriera fotoelettrica dovrà avere un livello di prestazione PLr=d.
Una volta che la tavola rotante avrà eseguito la rotazione di un passo, la logica di controllo segnalerà all'operatore la possibilità di accedere attraverso il varco protetto senza comportare un arresto di emergenza della zona di pulitura. In questa condizione, la tavola rotante sarà in arresto sicuro e non sarà possibile l'avviamento della rotazione della tavola, finché il fascio della barriera sarà interrotto.
La barriera fotoelettrica verrà utilizzata per il riavvio del ciclo: una volta completate le operazioni di scarico e carico pezzo (che possono comportare una o due violazioni consecutive del fascio, a seconda delle impostazioni su pannello di controllo), alla rimozione della violazione della barriera, la tavola potrà eseguire il passo, sempre che tutte le unità di lucidatura abbiano terminato il proprio ciclo.
In base a quanto sopra descritto, la barriera fotoelettrica:
- Sarà posizionata ad una distanza minima dagli elementi pericolosi calcola secondo l'equazione (3) della norma di riferimento EN ISO 13855;
- Avrà una capacità di rilevamento inferiore o uguale a 30 mm;
- Se la capacità di rilevamento della barriera sarà inferiore o uguale a 14 mm, la distanza minima sarà maggiore di 100 mm (anche se l'equazione di calcolo darà un valore più basso). Se la capacità di rilevamento sarà superiore (e comunque non più di 30 mm), la distanza minima sarà maggiore di 150 mm.
Vedere la sezione "Disegni" del fascicolo tecnico.
Vedere la sezione "Analisi di sicurezza" del fascicolo tecnico per i tempi di arresto e le distanze di sicurezza calcolate.</t>
  </si>
  <si>
    <t xml:space="preserve">LIB-038</t>
  </si>
  <si>
    <t xml:space="preserve">VRQ-211</t>
  </si>
  <si>
    <t xml:space="preserve">Pinza di presa del gruppo porta-pezzo della tavola rotante in posizione di carico/scarico</t>
  </si>
  <si>
    <t xml:space="preserve">1.1.1 Pericolo di schiacciamento
1.1.4 Pericolo di impigliamento</t>
  </si>
  <si>
    <t xml:space="preserve">Per consentire le operazioni manuali di carico/scarico dei pezzi sulla tavola rotante, nella postazione dell'operatore vi sarà un pedale di comando (le mani saranno libere di manipolare il prodotto) per comandare l'apertura (o la chiusura) della pinza di presa del prodotto del gruppo porta-pezzo della tavola rotante in posizione di carico/scarico.
Il comando a pedale sarà ad azione mantenuta, ovvero la pinza di persa sarà "aperta" a ricevere il pezzo fintantoché il pedale viene premuto.
Gli elementi mobili delle pinze, in posizione di fermo (disalimentazione / fine corsa), avranno una distanza di almeno 6 mm per evitare il pericolo di schiacciamento delle dita.</t>
  </si>
  <si>
    <t xml:space="preserve">LIB-039</t>
  </si>
  <si>
    <t xml:space="preserve">VRQ-220</t>
  </si>
  <si>
    <t xml:space="preserve">Unità di lucidatura CNC</t>
  </si>
  <si>
    <t xml:space="preserve">Se presenti unità di lucidatura CNC</t>
  </si>
  <si>
    <t xml:space="preserve">Zona di pulitura - Zona di lavoro di pulitura</t>
  </si>
  <si>
    <t xml:space="preserve">1.1.1 Pericolo di schiacciamento
1.1.2 Pericolo di cesoiamento
1.1.3 Pericolo di taglio o di sezionamento
1.1.4 Pericolo di impigliamento
1.1.6 Pericolo di urto
1.1.8 Pericolo di attrito o di abrasione
1.2.2 Posizione relativa (può generare zone di schiacciamento, di cesoiamento, di impigliamento, ecc. quando le parti sono in movimento)</t>
  </si>
  <si>
    <t xml:space="preserve">La zona di pulitura comprenderà tutti quegli elementi dell'impianto necessari alle ultime fasi di lavorazione dei pezzi, ovvero la loro lucidatura.
Gli elementi mobili della zona di pulitura saranno:
- La tavola rotante a 5 step (divisore);
- I 5 gruppi porta-pezzo della tavola rotante (assi M, assi R);
- Apri/chiudi porta-pezzo montati sui gruppi porta-pezzo della tavola rotante;
- Le quattro unità di lucidatura CNC (assi X-Y-W, asse U, asse Z, rotazione della spazzola).
La zona di lavoro di pulitura sarà circoscritta da ripari fissi, ovvero dalla cabina di protezione della zona di pulitura.
Per accedere alla zona di pulitura saranno presenti una serie di porte di accesso (a battente o scorrevoli) interbloccate con bloccaggio del riparo. Per quanto riguarda le porte di accesso alla zona di pulitura, vedere anche la scheda di valutazione VRQ-200 del RESS 1.4.1 e il RESS 1.4.2.2.
Durante il normale funzionamento della zona di pulitura (sia in modalità automatica che manuale), qualsiasi movimento o attuatore potrà essere attivato solo ed esclusivamente con le porte interbloccate di accesso all'intera zona di lavoro di pulitura chiuse e bloccate.
Per accedere alla zona di lavoro di pulitura sarà necessario posizionare il selettore a chiave di modalità su "SBLOCCO PORTE".
In questa condizione:
- tutte le utenze elettriche della zona di pulitura saranno in arresto sicuro e per la ripartenza sarà richiesto un ripristino manuale (vedere RESS 1.2.3);
- i circuiti pneumatici rimarranno in pressione al fine di mantenere stabili le utenze pneumatiche, come la presa dei pezzi nelle pinze ad azione positiva.
Con le porte interbloccate aperte della zona di lavoro di pulitura, l'operatore potrà effettuare in sicurezza le operazioni di sostituzione degli utensili.
Per quanto riguarda la sostituzione delle pinze porta-pezzo, invece, sarà necessario, preliminarmente, scaricare completamente il circuito pneumatico di alimentazione di tutte le pinze porta-pezzo. Vengono date informazioni nelle istruzioni d'uso.
Per quanto riguarda il varco per il posizionamento e la rimozione manuale di un pezzo sulla tavola rotante (carico/scarico), vedere quanto indicato nella scheda di valutazione VRQ-210 del presente requisito.
Gli assi delle unità di lucidatura avranno finecorsa meccanici e non meccanici.</t>
  </si>
  <si>
    <t xml:space="preserve">Nelle istruzioni dell'impianto si riporterà:
- la procedura di accesso alla zona di lavoro di pulitura;
- la procedura di sostituzione degli utensili;
- la procedura di sostituzione delle pinze porta-pezzo con l'avvertenza di sezionare e scaricare il relativo circuito pneumatico di alimentazione prima di iniziare l'intervento;
- l'obbligo di portare con sé la chiave del selettore modale della zona di pulitura quando si entra all'interno della cabina di protezione della zona di pulitura.</t>
  </si>
  <si>
    <t xml:space="preserve">LIB-040</t>
  </si>
  <si>
    <t xml:space="preserve">VRQ-221</t>
  </si>
  <si>
    <t xml:space="preserve">Per consentire la programmazione di una ricetta, che dovrà essere eseguita da una delle unità di lucidatura, l'operatore addetto alla programmazione dovrà:
- posizionare il selettore a chiave di modalità della zona di pulitura su "SBLOCCO PORTE";
- usare il relativo terminale portatile della zona di pulitura, attivando il suo dispositivo di abilitazione a tre posizioni;
- inserire le credenziali di riconoscimento di utente di alto livello per poter impostare la modalità di programmazione.
La funzione di selezione della modalità di programmazione avrà un livello di prestazione PLr=d.
La funzione di abilitazione del terminale portatile avrà un livello di prestazione PLr=d.
Per la tipologia di lavorazioni svolte dall’impianto, l’operatore addetto alla programmazione ha la necessità di operare in prossimità degli organi mobili, in modo da verificare non solo la correttezza della ricetta che deve creare, ma anche la qualità delle operazioni di lucidatura svolte, garantendo la precisione delle lavorazioni sul pezzo.
Per questo motivo, in modalità TEST, verrà prevista la possibilità di:
- Comandare la movimentazione di una sola stazione di lavoro alla volta, con anche la rotazione della spazzola alla massima velocità;
- Eseguire il test in continuo.
Non sarà prevista, invece, la possibilità di muovere la tavola rotante, la quale rimarrà in condizione di arresto sicuro.
Le credenziali di utenti di alto livello per l'uso del software di gestione dell'impianto verranno date solo a personale specializzato che abbia seguito i corsi di addestramento.</t>
  </si>
  <si>
    <t xml:space="preserve">Nelle istruzioni dell'impianto si riporterà:
- Solo personale addestrato può utilizzare il terminale portatile per la movimentazione delle parti della zona di pulitura all’interno dell’area protetta (riconosciuto tramite credenziali di accesso);
- Durante le manovre in test, mai porsi all’interno dello spazio di azione della stazione di lavoro. Mantenersi sempre a distanza di sicurezza.</t>
  </si>
  <si>
    <t xml:space="preserve">LIB-041</t>
  </si>
  <si>
    <t xml:space="preserve">1.3.8.1</t>
  </si>
  <si>
    <t xml:space="preserve">Elementi mobili di trasmissione</t>
  </si>
  <si>
    <t xml:space="preserve">Tutti gli elementi mobili di trasmissione delle parti dell'impianto saranno ubicati all'interno delle cabine di protezione.
Tutti gli elementi mobili di trasmissione saranno costituiti da aste cilindriche e bussole a ricircolo di sfere, azionate da una vite a ricircolo di sfere (messa in rotazione da un servomotore con riduttore) oppure, nel caso della stazione di carico della zona di smerigliatura, da un cilindro pneumatico. Questi sistemi di trasmissione e azionamento saranno coperti da soffietti in modo da
proteggerli dalle polveri e dalle sostanze prodotte nella lavorazione.
Le tavole rotanti (dispositivi per il passaggio del pezzo da un gruppo di smerigliatura a un altro, tavola rotante a 5 step) saranno chiuse da ripari fissi.</t>
  </si>
  <si>
    <t xml:space="preserve">LIB-042</t>
  </si>
  <si>
    <t xml:space="preserve">1.3.8.2</t>
  </si>
  <si>
    <t xml:space="preserve">Elementi mobili che partecipano alla lavorazione</t>
  </si>
  <si>
    <t xml:space="preserve">Tutti gli elementi mobili che parteciperanno alla lavorazione saranno all'interno delle cabine di protezione con porte di accesso interbloccate.
Le cabine di protezione saranno realizzate principalmente con pannelli fonoassorbenti e finestre in vetro antisfondamento per la visione della zona interna.
Per quanto riguarda le spazzole, queste sono ulteriormente racchiuse da cuffie di protezione, con bocca per il collegamento all'aspirazione.</t>
  </si>
  <si>
    <t xml:space="preserve">LIB-043</t>
  </si>
  <si>
    <t xml:space="preserve">1.3.9</t>
  </si>
  <si>
    <t xml:space="preserve">Rischi di movimenti incontrollati</t>
  </si>
  <si>
    <t xml:space="preserve">Tutte le zone interne dell'impianto in prossimità di alcuni assi delle stazioni di lavoro e delle spazzole</t>
  </si>
  <si>
    <t xml:space="preserve">1.1.1 Pericolo di schiacciamento
1.1.6 Pericolo di urto
1.2.2 Posizione relativa (può generare zone di schiacciamento, di cesoiamento, di impigliamento, ecc. quando le parti sono in movimento)</t>
  </si>
  <si>
    <t xml:space="preserve">Tutte le parti "motorizzate" delle zone dell'impianto saranno racchiuse all'interno di una cabina di protezione con porte di accesso interbloccate. Il dispositivo di interblocco associato alle porte asrà con bloccaggio del riparo, del tipo "power to release" (fornire alimentazione per sbloccare).
Per quanto riguarda le spazzole delle lucidatrici e le ruote di trascinamento con nastro abrasivo, queste, in caso di arresto (ad esempio per emergenza) richiederanno un certo lasso di tempo perché si fermino. Non si ritiene che questo possa comportare un rischio rilevante, sia per la gravità del danno che è bassa (abrasione), è movimento molto percepibile da parte dell'operatore qualora si avvicini alla stazione di lavoro.
Tutti gli assi di movimentazione verticale (W) o di inclinazione (Z e R, U delle unità CNC) saranno dotati di motori auto-frenanti.</t>
  </si>
  <si>
    <t xml:space="preserve">LIB-044</t>
  </si>
  <si>
    <t xml:space="preserve">1.4.1</t>
  </si>
  <si>
    <t xml:space="preserve">Requisiti generali</t>
  </si>
  <si>
    <t xml:space="preserve">Norme A: EN ISO 12100 Norme B: EN ISO 13857; EN ISO 13855; EN ISO 14120 | Norme: ISO/TR 14121-2</t>
  </si>
  <si>
    <t xml:space="preserve">LIB-045</t>
  </si>
  <si>
    <t xml:space="preserve">Cabina di protezione avente varchi e porte di accesso interbloccate della zona di smerigliatura</t>
  </si>
  <si>
    <t xml:space="preserve">La cabina di protezione della zona di smerigliatura sarà realizzata con pannelli fonoassorbenti e finestre in vetro antisfondamento per la visione della zona interna.
Lo spazio circoscritto dalla cabina verrà ulteriormente diviso con pannellature per suddividerlo ulteriormente nelle seguenti sottozone:
- Sottozona di carico;
- Sottozona di lavoro di smerigliatura.
Tra la sottozona di carico e la sottozona di lavoro di smerigliatura è presente un varco per il passaggio dei carrelli mobili con i pallet porta-pezzi. Il varco verrà realizzato secondo quanto indicato alla scheda di valutazione VRQ-110 del RESS 1.3.7.
Sul lato sinistro della sottozona di smerigliatura sarà presente un varco per il passaggio dei pezzi lavorati trasportati dal nastro di scarico. Il varco verrà realizzato secondo quanto indicato alla scheda di valutazione VRQ-120 del RESS 1.3.7.
La struttura e gli elementi della cabina di protezione saranno robusti e fissati solidamente.
La cabina permetterà anche il contenimento delle emissioni provocate durante la smerigliatura e un'eventuale proiezione di materiali.
Tutte le porte di accesso della cabina di protezione della zona di smerigliatura saranno munite di interruttori di interblocco con bloccaggio del riparo e con pulsante antipanico di sblocco dall'interno.
I dispositivi di interblocco rispetteranno la norma EN ISO 14119, tra cui i requisiti di non elusione.</t>
  </si>
  <si>
    <t xml:space="preserve">LIB-046</t>
  </si>
  <si>
    <t xml:space="preserve">Zona pericolosa protetta dalla porta di accesso alla sottozona di carico</t>
  </si>
  <si>
    <t xml:space="preserve">1.1.1 Pericolo di schiacciamento</t>
  </si>
  <si>
    <t xml:space="preserve">La porta di accesso alla sottozona di carico sarà scorrevole verticalmente. Una volta sbloccata, l'operatore potrà sollevare/abbassare la porta sfruttando le maniglie di presa poste su di essa.
La porta sarà collegata a un sistema di contrappesi con cavetti in acciaio, sia per mantenerla in posizione sollevata senza il rischio che questa scendi, e sia per agevolare la manovra di apertura/chiusura da parte dell'operatore.
Vedere documentazione dei componenti di commercio all'interno del Fascicolo Tecnico.
Segnaletica
3.8 Wear safety footwear</t>
  </si>
  <si>
    <t xml:space="preserve">LIB-047</t>
  </si>
  <si>
    <t xml:space="preserve">Cabina di protezione avente varco e porte di accesso interbloccate della zona di pulitura</t>
  </si>
  <si>
    <t xml:space="preserve">La cabina di protezione della zona di pulitura sarà realizzata con pannelli fonoassorbenti e finestre in vetro antisfondamento per la visione della zona interna.
Sul lato destro della zona di pulitura, in corrispondenza della posizione di carico/scarico della tavola rotante sarà presente un varco per consentire all'operatore di eseguire le operazioni manuali di scarico e carico pezzo. Il varco verrà realizzato secondo quanto indicato alla scheda di valutazione VRQ-210 del RESS 1.3.7.
La barriera fotoelettrica a protezione del varco sarà posizionata in modo tale che non sarà possibile non violare il fascio di protezione passando sopra/sotto o lateralmente alla barriera.
La struttura e gli elementi della cabina di protezione saranno robusti e fissati solidamente.
La cabina permetterà anche il contenimento delle emissioni provocate durante la lucidatura e un'eventuale proiezione di materiali.
Tutte le porte di accesso della cabina di protezione della zona di pulitura saranno munite di interruttori di interblocco con bloccaggio del riparo e con pulsante antipanico di sblocco dall'interno.
I dispositivi di interblocco rispetteranno la norma EN ISO 14119, tra cui i requisiti di non elusione (vedere Figura 31).</t>
  </si>
  <si>
    <t xml:space="preserve">LIB-048</t>
  </si>
  <si>
    <t xml:space="preserve">Zona di pulitura - Elementi mobili protetti da ripari locali</t>
  </si>
  <si>
    <t xml:space="preserve">Le unità di lucidatura dalla zona di pulitura saranno dotate di cuffie di protezione delle proprie spazzole con bocchetta per l'aspirazione delle sostanze prodotte durante la lavorazione.
Le cuffie saranno realizzate in metallo di adeguato spessore e fissate solidalmente alla struttura portante delle stesse, con una parte regolabile/rimovibile per consentire la sostituzione della spazzola.
Gli organi della tavola rotante sono chiusi da pannellature in metallo.</t>
  </si>
  <si>
    <t xml:space="preserve">LIB-049</t>
  </si>
  <si>
    <t xml:space="preserve">1.4.2.1</t>
  </si>
  <si>
    <t xml:space="preserve">Ripari fissi</t>
  </si>
  <si>
    <t xml:space="preserve">Tutti i ripari fissi dell'impianto, sia perimetrali, locali che distanziatori, saranno fissati con mezzi che richiedono l'uso di utensili per la loro apertura o smontaggio.</t>
  </si>
  <si>
    <t xml:space="preserve">Norme A: EN ISO 12100 Norme B: EN ISO 14120 | Norme: ISO/TR 14121-2</t>
  </si>
  <si>
    <t xml:space="preserve">LIB-050</t>
  </si>
  <si>
    <t xml:space="preserve">1.4.2.2</t>
  </si>
  <si>
    <t xml:space="preserve">Ripari mobili interbloccati</t>
  </si>
  <si>
    <t xml:space="preserve">Le porte di accesso alle cabine di protezione saranno ripari mobili interbloccati dell'impianto.
Tutte le porte saranno dotate di un interruttore di interblocco con bloccaggio del riparo e con pulsante antipanico interno, di tipo 2.
Le porte di accesso saranno a battente e/o scorrevoli.</t>
  </si>
  <si>
    <t xml:space="preserve">Nelle istruzioni dell'impianto si riporterà:
- la procedura di carico pezzi;
- la procedura di accesso alla zona di lavoro;
- l'obbligo di portare con sé la chiave del selettore modale quando si entra all'interno della cabina di protezione.</t>
  </si>
  <si>
    <t xml:space="preserve">Norme A: EN ISO 12100 Norme B: EN ISO 14120; EN ISO 13855; EN 14119 | Norme: ISO/TR 14121-2</t>
  </si>
  <si>
    <t xml:space="preserve">LIB-051</t>
  </si>
  <si>
    <t xml:space="preserve">Durante il normale funzionamento della zona di smerigliatura (con selettore modale del quadro elettrico della zona di
smerigliatura sia in modalità automatica che manuale), qualsiasi movimento o attuatore di zona potrà essere attivato solo ed esclusivamente con le porte interbloccate di accesso alla zona di lavoro di smerigliatura chiuse e bloccate.
Per sbloccare le porte e quindi poter accedere alla zona di lavoro di smerigliatura sarà necessario posizionare il selettore modale del quadro elettrico della zona di smerigliatura su "SBLOCCO PORTE".
Quando i dispositivi di interblocco vengono sbloccati, tutte le utenze passeranno immediatamente a una condizione di arresto sicuro (vedere anche RESS 1.3.9).
Per la ripartenza, sarà necessario il ripristino manuale della zona (vedere RESS 1.2.3).
Le porte di accesso alla zona di lavoro di smerigliatura si sbloccheranno anche in caso di intervento di un pulsante di arresto di emergenza di zona. Vedere RESS 1.2.4.3 e 1.5.14.
Per quanto riguarda la porta di accesso alla sottozona di carico, questa verrà sbloccata automaticamente quando un pallet porta-pezzi sarà posizionato nella sottozona di carico, lasciando il resto della zona di smerigliatura in funzione. Per consentire il completamento della procedura di carico pezzi, una volta che l'operatore avrà riempito il pallet di pezzi da lavorare, sarà necessario chiudere la porta e dare il comando di bloccaggio porta (pulsante di reset pallet).
Tutti i dispositivi di interblocco, con il relativo sistema di controllo, saranno gestiti come funzione di sicurezza.
Le stime del rischio per le parti mobili protette dai ripari in oggetto sono riportate al RESS 1.3.7 e sotto le specifiche schede di valutazione VRQ.</t>
  </si>
  <si>
    <t xml:space="preserve">LIB-052</t>
  </si>
  <si>
    <t xml:space="preserve">Durante il normale funzionamento della zona di pulitura (con selettore modale del quadro elettrico della zona di pulitura sia in
modalità automatica che manuale), qualsiasi movimento o attuatore di zona potrà essere attivato solo ed esclusivamente con le porte interbloccate di accesso alla zona di lavoro di pulitura chiuse e bloccate.
Per sbloccare le porte e quindi poter accedere alla zona di lavoro di pulitura sarà necessario posizionare il selettore modale del quadro elettrico della zona di pulitura su "SBLOCCO PORTE".
Quando i dispositivi di interblocco vengono sbloccati, tutte le utenze passeranno immediatamente a una condizione di arresto sicuro (vedere anche RESS 1.3.9).
Per la ripartenza, sarà necessario il ripristino manuale della zona (vedere RESS 1.2.3).
Le porte di accesso alla zona di lavoro di pulitura si sbloccheranno anche in caso di intervento di un pulsante di arresto di emergenza di zona. Vedere RESS 1.2.4.3 e 1.5.14.
Tutti i dispositivi di interblocco, con il relativo sistema di controllo, saranno gestiti come funzione di sicurezza, con livello di prestazione PLr=d con struttura in categoria 3.
Le stime del rischio per le parti mobili protette dai ripari in oggetto sono riportate al RESS 1.3.7 e sotto le specifiche schede di valutazione VRQ.</t>
  </si>
  <si>
    <t xml:space="preserve">LIB-053</t>
  </si>
  <si>
    <t xml:space="preserve">1.4.3</t>
  </si>
  <si>
    <t xml:space="preserve">Requisiti particolari per i dispositivi di protezione</t>
  </si>
  <si>
    <t xml:space="preserve">Stazione di carico/scarico della zona di lucidatura</t>
  </si>
  <si>
    <t xml:space="preserve">Il varco sulla cabina di protezione della zona di pulita per eseguire le operazioni di carico/scarico pezzo sulla tavola rotante sarà protetto da una barriera fotoelettrica.
In generale, la violazione dl fascio della barriera fotoelettrica comporterà un arresto di emergenza dell'intera zona di pulitura.
Una volta che la tavola rotante avrà eseguito la rotazione di un passo, la logica di controllo segnalerà all'operatore la possibilità di accedere attraverso il varco protetto senza comportare un arresto di emergenza della zona di pulitura. In questa condizione, la tavola rotante sarà in arresto sicuro e non sarà possibile l'avviamento della rotazione della tavola, finché il fascio della barriera sarà interrotto.
La barriera fotoelettrica verrà utilizzata per il riavvio del ciclo: una volta completate le operazioni di scarico e carico pezzo (che possono comportare una o due violazioni consecutive del fascio, a seconda delle impostazioni su pannello di controllo), alla rimozione della violazione della barriera, la tavola potrà eseguire il passo, sempre che tutte le unità di lucidatura abbiano terminato il proprio ciclo. Non sarà previsto quindi un ulteriore dispositivo di ripristino della barriera fotoelettrica.
La barriera fotoelettrica della stazione di carico/scarico della zona di pulitura, con il relativo sistema di controllo, sarà gestita come funzione di sicurezza, con livello di prestazione PLr=d.
Vedere la documentazione tecnica della barriera fotoelettrica e gli schemi elettrici raccolti nel fascicolo tecnico.
Vedere la sezione "Analisi di sicurezza" del fascicolo tecnico per i tempi di arresto e le distanze di sicurezza calcolate.</t>
  </si>
  <si>
    <t xml:space="preserve">Norme A: EN ISO 12100 Norme B: EN ISO 13856-1; EN ISO 13856-2; EN ISO 13856-3; EN 574; EN 61496-1 | Norme: ISO/TR 14121-2</t>
  </si>
  <si>
    <t xml:space="preserve">LIB-054</t>
  </si>
  <si>
    <t xml:space="preserve">1.5.1</t>
  </si>
  <si>
    <t xml:space="preserve">Energia elettrica</t>
  </si>
  <si>
    <t xml:space="preserve">Equipaggiamento elettrico</t>
  </si>
  <si>
    <t xml:space="preserve">Normale; manutenzione; installazione; regolazione / attrezzamento; programmazione; sblocco anomalie.</t>
  </si>
  <si>
    <t xml:space="preserve">2.1 Contatto di persone con elementi normalmente in tensione (contatto diretto)
2.2 Contatto di persone con elementi che entrano in tensione in caso di guasto (contatto indiretto)
2.4 Isolamento inadatto alle condizioni d'uso previste
2.5 Fenomeni elettrostatici
2.6 Radiazioni termiche o altri fenomeni come la proiezione di particelle fuse, e gli elementi chimici derivanti da corto circuiti,
sovraccarichi, ecc.)
2.7 Pericoli dovuti a campi elettromagnetici, specialmente per movimenti imprevisti</t>
  </si>
  <si>
    <t xml:space="preserve">L’Impianto di smerigliatura e lucidatura rubinetteria viene progettato per eseguire in modo automatico le operazioni di smerigliatura e, successivamente, di pulitura di componenti di rubinetteria.
L'impianto sarà realizzato con due zone di lavoro, di smerigliatura e di pulitura, ognuna con una propria cabina di protezione e fonti di alimentazione.
In generale l'equipaggiamento elettrico di ciascuna zona dell'impianto verrà realizzato rispettando i requisiti di sicurezza della Direttiva Bassa Tensione 2014/35/CE.
A tal fine, verranno rispettati i requisiti di sicurezza pertinenti delle seguenti norme tecniche:
- EN 60204-1 Sicurezza del macchinario - Equipaggiamento elettrico delle macchine. Parte 1: Regole generali.
- EN 61439-1 Apparecchiature assiemate di protezione e di manovra per bassa tensione (quadri BT) Parte 1: Regole generali.
Tutte le principali apparecchiature elettriche saranno contenute in appositi quadri elettrici o scatole elettriche con grado minimo di protezione IP idoneo.
Per la disconnessone dell'alimentazione elettrica verrà usato un interruttore di manovra sezionatore per ciascun quadro elettrico di zona.
Per la protezione contro la scossa elettrica:
- Per la protezione dei contatti diretti, una volta aperto un quadro o involucro, i componenti avranno un grado di protezione IP2X o IPXXB.
- Per la protezione dei contatti indiretti verrà adottata l'interruzione automatica dell'alimentazione mediante interruzione automatica dell'alimentazione.
Tutte le masse metalliche che possono essere toccate inavvertitamente e che possono andare in tensione a causa di un isolamento principale dell'impianto elettrico (es. cavo) verranno collegate all’impianto di terra .
Gli inverter e i filtri EMC saranno ubicati all'interno dei quadri elettrici, realizzati in metallo.
Per quanto riguarda gli inverter, questi verranno collegati ai rispettivi motori mediante cavi schermati, rispettando le indicazioni di collegamento fornite dal costruttore del prodotto. Inoltre, considerando la presenza al loro interno di capacità, sul componente (o in loro prossimità) e nel manuale d'uso, verrà posta un'avvertenza che segnala la presenza di tensione residua anche dopo il sezionamento del quadro elettrico.
I cablaggi, in particolare per le calze di schermatura, saranno realizzati come indicato sul relativo manuale d'installazione (collarino di bassa impedenza).
Vedere gli schemi elettrici nella sezione "Schemi circuitali" del Fascicolo Tecnico.
Vedere la sezione "Prove sull'equipaggiamento elettrico" del Fascicolo Tecnico.</t>
  </si>
  <si>
    <t xml:space="preserve">Nelle istruzioni dell'impianto si riporterà:
- Le informazioni sulle caratteristiche di alimentazione necessarie all'impianto.
- L'avvertenza "Anche quando l’interruttore generale è in posizione “0” resta comunque presente, all’interno del quadro elettrico, la tensione di rete."
- L'avvertenza "Alcuni componenti dell’equipaggiamento elettrico possono trovarsi sotto tensione anche dopo il disinserimento della tensione di rete. Prima di rimuovere la copertura degli apparecchi (ad es. inverter), attendere almeno 5 minuti, affinché la tensione si riduca a valori trascurabili."
- L'avvertenza che sulle parti elettriche in tensione o fuori tensione deve operare esclusivamente personale tecnico preposto (PES, PAV e PEI), che deve adottare le dovute precauzioni.
- L'avvertenza "La manutenzione dell’impianto elettrico potrebbe richiede l’esecuzione di interventi in tensione (quali ad esempio misure elettriche). È quindi necessario che gli addetti alla manutenzione siano qualificati per poter eseguire lavori
elettrici in tensione (secondo la norma EN 50011-1)."
Segnaletica
1.2.26 4.10 5.12 4.3.2 Pericolo, togliere la Do not extinguish Warning; Electricity Prescrizioni elettriche tensione prima di with water rimuovere la protezione</t>
  </si>
  <si>
    <t xml:space="preserve">LIB-055</t>
  </si>
  <si>
    <t xml:space="preserve">1.5.2</t>
  </si>
  <si>
    <t xml:space="preserve">Elettricità statica</t>
  </si>
  <si>
    <t xml:space="preserve">2.5 Fenomeni elettrostatici</t>
  </si>
  <si>
    <t xml:space="preserve">L'equipaggiamento elettrico delle zone dell'impianto verrà realizzato ottemperando a tutti i requisiti di sicurezza pertinenti della norma EN 60204-1 (vedere anche RESS 1.5.1).
Il rischio di scariche elettrostatiche verrà ridotto tramite collegamenti equipotenziale (come previsto dalla norma di riferimento sopra indicata).</t>
  </si>
  <si>
    <t xml:space="preserve">LIB-056</t>
  </si>
  <si>
    <t xml:space="preserve">1.5.3</t>
  </si>
  <si>
    <t xml:space="preserve">Energie diverse dall'energia elettrica</t>
  </si>
  <si>
    <t xml:space="preserve">Equipaggiamento pneumatico</t>
  </si>
  <si>
    <t xml:space="preserve">Se presente impianto pneumatico</t>
  </si>
  <si>
    <t xml:space="preserve">Normale; manutenzione; installazione; sblocco anomalie; regolazione / attrezzamento; programmazione.</t>
  </si>
  <si>
    <t xml:space="preserve">1.1.1 Pericolo di schiacciamento
1.1.2 Pericolo di cesoiamento
1.1.4 Pericolo di impigliamento
1.1.6 Pericolo di urto
1.2.2 Posizione relativa (può generare zone di schiacciamento, di cesoiamento, di impigliamento, ecc. quando le parti sono in
movimento) 1.2.7.2 Accumulo di energia potenziale all'interno della macchina causato da liquidi e gas in pressione</t>
  </si>
  <si>
    <t xml:space="preserve">L’Impianto di smerigliatura e lucidatura rubinetteria viene progettato per eseguire in modo automatico le operazioni di smerigliatura e, successivamente, di pulitura di componenti di rubinetteria.
L'impianto sarà realizzato con due zone di lavoro, di smerigliatura e di pulitura, ognuna con una propria cabina di protezione e fonti di alimentazione.
L'equipaggiamento pneumatico delle zone dell'impianto verrà realizzato seguendo la norma tecnica EN ISO 4414.
I componenti pneumatici saranno di commercio.
L'allacciamento delle alimentazioni pneumatiche sarà sull'ingresso dei gruppi di trattamento principale della zona di smerigliatura e della zona di pulitura, i quali avranno una valvola manuale di inserimento, un gruppo filtro-regolatore con manometro, un lubrificatore e pressostati.
L'impianto pneumatico di ciascuna zona avrà una serie di rubinetti per il sezionamento dell'alimentazione pneumatica dei vari circuiti, oltre a rubinetti per lo scarico della pressione residua.
I rubinetti di sezionamento circuito e quelli di scarico avranno un colore diverso.
Tutte le parti su cui l'operatore potrà intervenire (regolatori, rubinetti, ecc.) avranno un'etichetta con indicata la funzione dell'elemento.
Per quanto riguarda il circuito di alimentazione delle pinze porta-pezzo, la pressione pneumatica verrà aumentata e regolata mediante un moltiplicatore di pressione e un regolatore.
Vedere gli schemi pneumatici nella sezione "Schemi circuitali" del Fascicolo Tecnico.</t>
  </si>
  <si>
    <t xml:space="preserve">Nelle istruzioni dell'impianto si riporta:
- Le informazioni sulle caratteristiche di alimentazione da fornire per l'impianto.
- L'indicazione che l’impianto pneumatico deve essere sempre scaricato manualmente da un operatore qualificato prima di eseguire qualsiasi intervento sulle parti dell’impianto.
- L'avvertenza "Depressurizzare completamente il sistema pneumatico prima di eseguire operazioni di manutenzione".
- Il divieto di sostituire le pinze porta-pezzo senza aver prima scaricato il relativo circuito di alimentazione."
- La procedura di spurgo delle pistole spruzzatrici, dove è previsto lo scollegamento del tubo di alimentazione dell’aria compressa alla pistola.
Segnaletica
4.3.8
Prescrizioni pneumatiche</t>
  </si>
  <si>
    <t xml:space="preserve">LIB-057</t>
  </si>
  <si>
    <t xml:space="preserve">1.5.4</t>
  </si>
  <si>
    <t xml:space="preserve">Errori di montaggio</t>
  </si>
  <si>
    <t xml:space="preserve">Regolazione / Attrezzamento.</t>
  </si>
  <si>
    <t xml:space="preserve">7.3.4 Errori di montaggio</t>
  </si>
  <si>
    <t xml:space="preserve">L'impianto verrà progettato in modo da eliminare rilevanti errori di montaggio da parte dell'operatore.
Per quanto riguarda la sostituzione delle parti dell'impianto legate allo specifico codice prodotto che deve essere lavorato (pinze porta-pezzo, pallet porta-pezzi, utensili), questi verranno identificati con una codifica.
Al manuale di istruzioni dell'impianto si allegheranno delle schede di attrezzaggio per i vari codici di prodotto che potranno essere lavorati, dove si identificheranno le parti che devono essere montate sulle stazioni di lavoro dell'impianto.
A misura di protezione saranno fornite adeguate istruzioni per l'uso e la manutenzione.</t>
  </si>
  <si>
    <t xml:space="preserve">LIB-058</t>
  </si>
  <si>
    <t xml:space="preserve">1.5.5</t>
  </si>
  <si>
    <t xml:space="preserve">Temperature estreme</t>
  </si>
  <si>
    <t xml:space="preserve">Servomotori</t>
  </si>
  <si>
    <t xml:space="preserve">Manutenzione.</t>
  </si>
  <si>
    <t xml:space="preserve">3.1 Bruciature e scottature ed altre lesioni provocate dal possibile contatto di persone con oggetti o materiale a temperature estremamente elevate o estremamente basse, da fiamme o da esplosioni ed anche dall'irragiamento di fonti di calore</t>
  </si>
  <si>
    <t xml:space="preserve">Alcuni componenti di commercio dell'impianto, come i servomotori, avranno il cartello di avvertenza "pericolo superfici calde", applicato direttamente da fabbricante primo.
Nelle istruzioni dell'impianto verrà riportato il possibile pericolo associato a tali parti.</t>
  </si>
  <si>
    <t xml:space="preserve">Nelle istruzioni dell'impianto si riporterà che anche se l’impianto viene arrestato, attendere sempre che le parti con superf ici calde raggiungano la temperatura ambiente prima di intervenire su di esse, oppure utilizzare guanti di protezione.
Segnaletica
3.9 5.17 Wear protective Warning; Hot gloves surface</t>
  </si>
  <si>
    <t xml:space="preserve">Norme A: EN ISO 12100 Norme B: EN ISO 13732-1; EN ISO 13732-3 | Norme: ISO/TR 14121-2</t>
  </si>
  <si>
    <t xml:space="preserve">LIB-059</t>
  </si>
  <si>
    <t xml:space="preserve">Zona di contatto pezzo/utensile</t>
  </si>
  <si>
    <t xml:space="preserve">Durante la lavorazione dei pezzi le parti che entrano in contatto (utensile/pezzo) possono riscaldarsi.
L'operatore potrà entrare in contatto con i pezzi lavorati:
- quando usciranno dalla zona di smerigliatura, trasportati dal nastro trasportatore;
- quando devono essere scaricati dalla tavola rotante della zona di pulitura.
Onde evitare che l'operatore possa entrare in contatto con un pezzo da scaricare ancora caldo, sarà obbligatorio l'uso di guanti protettivi.
Verranno date indicazioni nelle istruzioni dell'impianto.</t>
  </si>
  <si>
    <t xml:space="preserve">Nelle istruzioni dell'impianto si riporterà l'obbligo di indossare guanti protettivi (termoisolanti) quando si devono manipolare (scaricare) i pezzi lavorati.
Segnaletica
M009 Wear protective gloves</t>
  </si>
  <si>
    <t xml:space="preserve">LIB-060</t>
  </si>
  <si>
    <t xml:space="preserve">1.5.6</t>
  </si>
  <si>
    <t xml:space="preserve">Incendio</t>
  </si>
  <si>
    <t xml:space="preserve">Quadri elettrici</t>
  </si>
  <si>
    <t xml:space="preserve">2.6 Radiazioni termiche o altri fenomeni come la proiezione di particelle fuse, e gli elementi chimici derivanti da corto circuiti, sovraccarichi, ecc.)</t>
  </si>
  <si>
    <t xml:space="preserve">L'equipaggiamento elettrico delle zone dell'impianto verrà realizzato ottemperando a tutti i requisiti di sicurezza pertinenti della norma EN 60204-1 (vedere anche RESS 1.5.1).
Il rischio di incendio verrà ridotto mediante la protezione dell’equipaggiamento da cortocircuiti e sovraccarichi effettuati come previsto dalla norma di riferimento sopra indicata.
Particolare attenzione verrà posta sulla corrente di cortocircuito nel punto d’installazione.
Sui quadri elettrici verrà apposto il valore della corrente di corto circuito nel punto di installazione.
Vedere le relazioni sulle prove dell'equipaggiamento elettrico previste dalla norma di riferimento raccolte nel Fascicolo Tecnico.</t>
  </si>
  <si>
    <t xml:space="preserve">Nelle istruzioni dell'impianto si riporterà l'avvertenza di divieto "Un quadro elettrico non può essere collegato a una rete elettrica se la corrente di cortocircuito nel punto di installazione è maggiore di quella sopportabile dal quadro elettrico stesso (vedere la targa con i dati elettrici sul quadro e/o gli schemi elettrici dell’impianto)."</t>
  </si>
  <si>
    <t xml:space="preserve">Norme A: EN ISO 12100 Norme B: EN ISO 19353; EN 60204-1 | Norme: ISO/TR 14121-2</t>
  </si>
  <si>
    <t xml:space="preserve">LIB-061</t>
  </si>
  <si>
    <t xml:space="preserve">Spazzole di lucidatura in zona di pulitura</t>
  </si>
  <si>
    <t xml:space="preserve">6.3 Pericolo di incendio o esplosione</t>
  </si>
  <si>
    <t xml:space="preserve">Per quanto riguarda le lucidatrici della zona di pulitura, sulla testa porta-spazzola sarà presente una pistola che spruzza sull'utensile/pezzo pasta abrasiva.
L'erogazione della pasta (umida) comporta che le parti in questione durante la lavorazione non possano raggiungere temperature elevate.
Considerando che:
- l'erogazione della pasta durante la lucidatura sarà fondamentale per eseguire correttamente le operazioni;
- l'impianto è previsto con una sorveglianza continua da parte dell'operatore addetto alla conduzione;
- prima di utilizzare l'impianto, l'operatore dovrà verificare che l'impianto della pasta abrasiva possa lavorare efficacemente;
- sarà possibile eseguire il rifornimento di pasta nei serbatoi senza fermare l'impianto;
- l'operatore addetto alla conduzione sarà addestrato alle operazioni che deve svolgere;
La probabilità che durante il funzionamento le spazzole possano raggiungere la temperatura di autoaccensione (vedere la scheda tecnica della spazzola) per mancanza di erogazione della pasta abrasiva è bassa.</t>
  </si>
  <si>
    <t xml:space="preserve">Nelle istruzioni dell'impianto si daranno tutte le indicazioni delle operazioni preliminari che dovranno essere eseguite prima di usare l'impianto, come controllo alimentazione pneumatica, controllo funzionamento dell'impianto pasta abrasiva, controllo presenza olio di lubrificazione nelle pompe automatiche.</t>
  </si>
  <si>
    <t xml:space="preserve">LIB-062</t>
  </si>
  <si>
    <t xml:space="preserve">1.5.8</t>
  </si>
  <si>
    <t xml:space="preserve">Rumore</t>
  </si>
  <si>
    <t xml:space="preserve">4.1 Perdita di udito (sordità)
4.2 Ronzio auricolare
4.3 Stanchezza, tensione, ecc. provocata dal rumore
4.4 Altri disturbi fisiologici dovuti al rumore (perdita dell'equilibrio, della percezione, di conoscenza)</t>
  </si>
  <si>
    <t xml:space="preserve">Ciascuna zona di lavoro dell'impianto sarà delimitata da una propria cabina di protezione.
La zona di smerigliatura avrà una cabina di protezione che racchiuderà i tre robot antropomorfi con le smerigliatrici a nastro, le stazioni di scambio robot, la stazione di carico a doppio pallet e una parte di nastro trasportatore di scarico.
La zona di pulitura avrà una cabina di protezione che racchiuderà la tavola rotante porta-pezzi e le quattro unità di lucidatura CNC.
Le cabine di protezione saranno realizzate con pannelli fonoassorbenti e finestre per consentire la visione della zona dall'esterno.
Verranno effettuate le misurazioni dell'emissione acustica dell'impianto.
Vedere le relazioni delle misurazioni dell'emissione acustica nel Fascicolo Tecnico.</t>
  </si>
  <si>
    <t xml:space="preserve">Norme A: EN ISO 12100 Norme B: ISO 3743-1;ISO 3743-2; ISO 3744; ISO 3745; ISO 3746; ISO 3747; EN ISO 11200; EN ISO 11201; EN ISO 11202; EN ISO 11203; EN ISO 11204; EN ISO 11205; EN ISO 11688-1; EN ISO 4871 | Norme: ISO/TR 14121-2</t>
  </si>
  <si>
    <t xml:space="preserve">LIB-063</t>
  </si>
  <si>
    <t xml:space="preserve">1.5.11</t>
  </si>
  <si>
    <t xml:space="preserve">Radiazione esterne</t>
  </si>
  <si>
    <t xml:space="preserve">Zone adiacenti l'impianto</t>
  </si>
  <si>
    <t xml:space="preserve">2.7 Pericoli dovuti a campi elettromagnetici, specialmente per movimenti imprevisti</t>
  </si>
  <si>
    <t xml:space="preserve">L'equipaggiamento elettrico delle zone dell'impianto verrà realizzato ottemperando a tutti i requisiti di sicurezza pertinenti della norma EN 60204-1 (vedere anche RESS 1.5.1).
Il rischio dovuto ad un eventuale disturbo dell'impianto per radiazioni esterne verrà ridotto tramite la connessione dell’equipaggiamento elettrico alla messa a terra e la realizzazione di un sistema di collegamento equipotenziale funzionale (come previsto dalla norma di riferimento sopra indicata).
Inoltre le apparecchiature elettroniche che verranno utilizzate saranno di commercio, adatte agli impieghi industriali e rispetteranno la Direttiva 2014/30/CE.
Le apparecchiature saranno posizionate all’interno di quadri/scatole elettrici in carpenteria metallica.
I cavi di segnale che possono essere soggetti a perturbazioni elettromagnetiche saranno schermati. Relativamente a questo aspetto saranno seguite le indicazioni dei rispettivi costruttori.
Vedere la documentazione tecnica dei componenti acquistati nel Fascicolo Tecnico.
Vedere le relazioni sulle prove dell'equipaggiamento elettrico previste dalla norma di riferimento raccolte nel Fascicolo Tecnico.</t>
  </si>
  <si>
    <t xml:space="preserve">Nelle istruzioni dell'impianto si riporterà:
- "Tutti i quadri elettrici devono essere collegati all’impianto di messa a terra e deve essere verificata la continuità della messa a terra di tutto l’equipaggiamento elettrico. A tale scopo l’utente dovrà fornire i punti di collegamento all’impianto di messa a terra dello stabilimento, avendo cura di verificare che lo stesso risponda ai requisiti richiesti dalla legislazione vigente."
- "È necessario, nel rispetto delle vigenti norme di sicurezza, che l’impianto elettrico sia collegato ad un efficiente impianto di terra".</t>
  </si>
  <si>
    <t xml:space="preserve">LIB-064</t>
  </si>
  <si>
    <t xml:space="preserve">1.5.13</t>
  </si>
  <si>
    <t xml:space="preserve">Emissioni di materie e sostanze pericolose</t>
  </si>
  <si>
    <t xml:space="preserve">Punti di smerigliatura e lucidatura</t>
  </si>
  <si>
    <t xml:space="preserve">6.2 Pericoli da contatto o inalazione di fluidi dannosi, gas, nebbie, fumi e polveri che hanno effetto dannoso, tossico, corrosivo e/o irritante</t>
  </si>
  <si>
    <t xml:space="preserve">Sia la zona di smerigliatura che quella di pulitura dell’impianto saranno predisposte per il collegamento ad un impianto di estrazione delle polveri prodotte.
Nello specifico, ogni stazione di lavoro (smerigliatrici a nastro e unità di lucidatura) sarà dotata di bocchetta per il collegamento di una tubazione per l'estrazione dei residui di lavorazione.
Prima di mettere in funzione (per la prima volta, una volta installato) l'impianto, questo dovrà essere collegato a un sistema di aspirazione ed abbattimento delle sostanze prodotte.
L'impianto di aspirazione sarà a carico del cliente.
Nelle istruzioni dell'impianto verranno indicate le caratteristiche di aspirazione, nonché l'ubicazione e il diametro delle bocchette per il collegamento.
Nonostante un'aspirazione forzata delle sostanze che verranno prodotte in fase di lavorazione, il mix di sostanze formate dal materiale smerigliato e dai residui di consumo degli utensili (nastri abrasivi), possono depositarsi sulle superfici delle parti dell'impianto e della zona circoscritta.
La cabina di protezione della zona di smerigliatura, quindi, permetterà il contenimento delle sostanze e impedirà che vengano disperse nell'ambiente.
Nonostante un'aspirazione forzata delle sostanze che vengono prodotte in fase di lavorazione, il mix di sostanze formate dal materiale lucidato, dalle paste abrasive e dai materiali degli utensili (spazzole), possono depositarsi sulle superfici delle parti dell'impianto e della zona circoscritta.
La cabina di protezione della zona di pulitura, quindi, permetterà il contenimento delle sostanze e impedirà che vengano disperse nell'ambiente.
Nelle istruzioni dell'impianto verranno date indicazioni sulla necessità di una frequente pulizia delle zone di lavoro dell'impianto.</t>
  </si>
  <si>
    <t xml:space="preserve">Nelle istruzioni dell'impianto si riporteranno le seguenti indicazioni:
- Quando si accede a una zona di lavoro indossare una maschera di protezione delle vie respiratorie con filtri adatti alle sostanze prodotte;
- È vietato utilizzare l’impianto senza che questo sia stato collegato a un impianto di aspirazione.
- Prima di avviare l’impianto, assicurarsi che l’impianto di aspirazione delle polveri sia già attivo e funzionante.
- Eseguire costantemente le operazioni di pulizia dell3 zona3 di lavoro e di tutte le parti in cui si possono depositare le sostanze prodotte;
- Durante le operazioni di pulizia, adottare tutti i dispositivi di protezione necessari (abbigliamento aderente, guanti, mascherine, occhiali, ecc.);
- Per le paste abrasive in uso, fare riferimento alle schede di sicurezza dei prodotti in uso.
- Ogni giorno a fine turno, eseguire un controllo generale dello stato delle parti dell’impianto e provvedere a una pulizia generale. Ogni settimana procedere ad una pulizia approfondita dell’intero impianto.
Segnaletica
3.9 3.16
Wear protective Wear a mask gloves</t>
  </si>
  <si>
    <t xml:space="preserve">Norme A: EN ISO 12100 Norme B: EN ISO 14123-1; EN ISO 14123-2 | Norme: ISO/TR 14121-2</t>
  </si>
  <si>
    <t xml:space="preserve">LIB-065</t>
  </si>
  <si>
    <t xml:space="preserve">1.5.14</t>
  </si>
  <si>
    <t xml:space="preserve">Rischio di restare imprigionati in una macchina</t>
  </si>
  <si>
    <t xml:space="preserve">Zone di smerigliatura Zona di pulitura</t>
  </si>
  <si>
    <t xml:space="preserve">Normale; regolazione / attrezzamento; programmazione; sblocco anomalie.</t>
  </si>
  <si>
    <t xml:space="preserve">1.1.5 Pericolo di trascinamento o d'intrappolamento</t>
  </si>
  <si>
    <t xml:space="preserve">Ciascuna zona di lavoro dell'impianto sarà delimitata da una propria cabina di protezione.
La zona di smerigliatura avrà una cabina di protezione che racchiuderà i tre robot antropomorfi con le smerigliatrici a nastro, le stazioni di scambio robot, la stazione di carico a doppio pallet e una parte di nastro trasportatore di scarico.
La zona di pulitura avrà una cabina di protezione che racchiuderà la tavola rotante porta-pezzi e le quattro unità di lucidatura CNC.
Una volta all'interno della zona di smerigliatura non sarà possibile accedere o raggiungere gli elementi pericolosi della zona di pulitura, e viceversa.
Ciascuna cabina avrà diverse porte di accesso scorrevoli con dispositivo di interbloccato con bloccaggio del riparo e pulsante interno antipanico.
ZONA DI SMERIGLIATURA Per sbloccare le porte della cabina di smerigliatura sarà necessario posizionare il selettore a chiave presente sul quadro elettrico della zona di smerigliatura su "SBLOCCO PORTE SMERIGLIATURA". Quando un operatore è all'interno della zona di lavoro, per evitare che qualcun altro possa chiudere le porte e riprendere il funzionamento, nelle istruzioni dell'impianto si prescriverà di portare con sé la chiave di "SBLOCCO PORTE SMERIGLIATURA ", quando si accede all'interno della zona di smerigliatura, qualsiasi sia la tipologia di intervento da eseguire.
In ogni caso, agendo sul pulsante antipanico di un dispositivo di interblocco di una porta si avrà automaticamente lo sblocco della porta e, di conseguenza, un arresto protettivo di tutte le stazioni di lavoro della zona di smerigliatura.
ZONA DI PULITURA Per sbloccare le porte della cabina di pulitura sarà necessario posizionare il selettore a chiave presente sul quadro elettrico della zona di pulitura su "SBLOCCO PORTE PULITURA". Quando un operatore è all'interno della zona di lavoro, per evitare che qualcun altro possa chiudere le porte e riprendere il funzionamento, nelle istruzioni dell'impianto si prescriverà di portare con sé la chiave di "SBLOCCO PORTE PULITURA ", quando si accede all'interno della zona di pulitura, qualsiasi sia la tipologia di intervento da eseguire.
In ogni caso, agendo sul pulsante antipanico di un dispositivo di interblocco di una porta si avrà automaticamente lo sblocco della porta e, di conseguenza, un arresto protettivo di tutte le stazioni di lavoro della zona di pulitura.
Inoltre, all’interno delle zone protette vi saranno diversi pulsanti di emergenza (vedere RESS 1.2.4.3) che, se premuti, comanderanno l’arresto immediato della zona e lo sblocco del dispositivo di interblocco delle porte di accesso della cabina di protezione.</t>
  </si>
  <si>
    <t xml:space="preserve">Nelle istruzioni dell'impianto si riporterà che quando si accede nella zona di smerigliatura o nella zona di pulitura è necessario portare con sé la chiave di "SBLOCCO PORTE SMERIGLIATURA" della cabina di protezione della zona di smerigliatura o la chiave di "SBLOCCO PORTE PULITURA" della cabina di protezione della zona di pulitura.</t>
  </si>
  <si>
    <t xml:space="preserve">Norme A: EN ISO 12100 Norme B: EN 547-1; EN 547-2; EN 547-3 | Norme: ISO/TR 14121-2</t>
  </si>
  <si>
    <t xml:space="preserve">LIB-066</t>
  </si>
  <si>
    <t xml:space="preserve">1.6.1</t>
  </si>
  <si>
    <t xml:space="preserve">Manutenzione della macchina</t>
  </si>
  <si>
    <t xml:space="preserve">Aree di intervento per la regolazione, manutenzione, riparazione e pulizia.</t>
  </si>
  <si>
    <t xml:space="preserve">Manutenzione; regolazione / attrezzamento.</t>
  </si>
  <si>
    <t xml:space="preserve">1.1.1 Pericolo di schiacciamento
1.2.2 Posizione relativa (può generare zone di schiacciamento, di cesoiamento, di impigliamento, ecc. quando le parti sono in movimento)</t>
  </si>
  <si>
    <t xml:space="preserve">Non ci saranno operazioni di manutenzione, pulizia e riparazione con impianto in funzione o alimentato. Inoltre, sul quadro elettrico verrà riportata l'avvertenza scritta di scaricare la pressione dell’aria e di verificare l'avvenuta depressurizzazione dell'impianto pneumatico.
Le operazioni di regolazione e/o ripristino che richiederanno di portarsi all'interno della zona protetta verranno eseguite con porte interbloccate di accesso sbloccate, con tutte le parti in arresto sicuro.
Gli elementi dell'impianto che dovranno essere sostituiti frequentemente, come gli utensili, saranno realizzati per essere smontati/rimontati in modo facile e veloce:
- Ciascuna smerigliatrice a nastro avrà localmente una levetta di comando pneumatico per attivare/disattivare il proprio cilindro di tensionamento nastro;
- Per agevolare l'operatore alla sostituzione delle spazzole sulle unità di lucidatura CNC, da pannello operatore sarà possibile comandare il posizionamento automatico dell'unità di lucidatura alla "quota di cambio utensile", funzione da richiamare prima di accedere all'interno della zona protetta.
Per la sostituzione degli utensili, l'operatore dovrà accedere all'interno della zona protetta, e quindi varranno le condizioni di sicurezza indicate al RESS 1.3.7.
Vengono date informazioni nelle istruzioni dell'impianto.</t>
  </si>
  <si>
    <t xml:space="preserve">Nelle istruzioni dell'impianto verranno date le seguenti informazioni:
- Tutte le operazioni di manutenzione devono essere eseguite con impianto sezionato dalle proprie alimentazioni e con i circuiti pneumatici depressurizzati.
- Tutte le operazioni di regolazione, fatta eccezione di quelle previste con impianto alimentato, devono essere eseguite con impianto sezionato dalle proprie alimentazioni e con i circuiti pneumatici depressurizzati.
- Quando si deve accedere all'interno di una cabina di protezione è necessario portare con sé la chiave di "SBLOCCO PORTE" della zona coinvolta.</t>
  </si>
  <si>
    <t xml:space="preserve">LIB-067</t>
  </si>
  <si>
    <t xml:space="preserve">2.1 Contatto di persone con elementi normalmente in tensione (contatto diretto)
2.2 Contatto di persone con elementi che entrano in tensione in caso di guasto (contatto indiretto)</t>
  </si>
  <si>
    <t xml:space="preserve">Le manutenzioni sull'equipaggiamento elettrico dell'impianto dovranno essere eseguite da personale abilitato e qualificato con le dovute precauzioni.
Verranno date informazioni nelle istruzioni.</t>
  </si>
  <si>
    <t xml:space="preserve">Nelle istruzioni dell'impianto verranno date le seguenti avvertenze:
- La manutenzione dell’impianto elettrico potrebbe richiede l’esecuzione di interventi in tensione (quali ad esempio misure elettriche). È quindi necessario che gli addetti alla manutenzione siano qualificati per poter eseguire lavori elettrici in tensione (secondo la norma EN 50011-1)".
Segnaletica
1.2.26 5.12 4.3.2 Pericolo, togliere la Warning; Electricity Prescrizioni elettriche tensione prima di rimuovere la protezione</t>
  </si>
  <si>
    <t xml:space="preserve">LIB-068</t>
  </si>
  <si>
    <t xml:space="preserve">1.6.2</t>
  </si>
  <si>
    <t xml:space="preserve">Accesso ai posti di lavoro e ai punti d'intervento utilizzati per la manutenzione</t>
  </si>
  <si>
    <t xml:space="preserve">Area interna alle cabine di protezione</t>
  </si>
  <si>
    <t xml:space="preserve">9.1.1 Pericoli provocati da posizioni insalubri
10.8 Scivolamento, inciampo e caduta di persone (relativi alla macchina)</t>
  </si>
  <si>
    <t xml:space="preserve">Le postazioni di conduzione per l'operatore durante il normale funzionamento dell'impianto saranno tutte ubicate fuori dalla zona pericolosa, e non richiederanno di salire o accedere a livelli sopraelevati rispetto alla pavimentazione.
Tutte le parti dell'impianto che necessitano di manutenzioni periodiche saranno in una posizione facilmente raggiungibile e non richiederanno mezzi di accesso.
All'interno delle cabine di protezione, le stazioni di lavoro e i vari dispositivi saranno posizionati e fissati a dei basamenti o dei supporti. I fasci di cavi e di tubature saranno raggruppati ordinatamente, in modo da razionalizzare il più possibile la loro distribuzione e limitare il loro ingombro. I fasci che "correranno" a terra saranno protetti da coperture calpestabili.
Quando si accede all'area di lavoro, si potrebbe urtare con la testa le parti sporgenti delle stazioni di lavoro, in particolare l'estremità del robot antropomorfo. Per questo motivo quando si accede alla zona protetta è necessario indossare opportuni dispositivi di protezione individuale (casco, guanti, ...).</t>
  </si>
  <si>
    <t xml:space="preserve">Nelle istruzioni dell'impianto si riporteranno le seguenti indicazioni/avvertenze:
- Il tetto delle cabine di protezione dell’impianto non è calpestabile.
- La manutenzione di parti dell’impianto che richiedono di portarsi ad una certa altezza, esponendolo al pericolo di caduta dall’alto, dovrà essere eseguita utilizzando mezzi di accesso sicuri, come piattaforme elevatrici e/o trabatelli.
- Tutte le operazioni eseguite con l’ausilio di scale portatili devono essere effettuate da personale specializzato ed addestrato all’uso di tali attrezzature. Le scale portatili utilizzate per eseguire alcune operazioni devono essere certificate e a norma di legge.
Segnaletica
3.14 Wear head protection Rischio residuo Rischio di inciampo: non si possono escludere episodi di inciampo dovuti alla presenza di elementi strutturali o canalizzazioni a pavimento.</t>
  </si>
  <si>
    <t xml:space="preserve">Norme A: EN ISO 12100 Norme B: EN 547-1; EN 547-2; EN 547-3; EN ISO 14122-1; EN ISO 14122-2; EN ISO 14122-3 | Norme: ISO/TR 14121-2</t>
  </si>
  <si>
    <t xml:space="preserve">LIB-069</t>
  </si>
  <si>
    <t xml:space="preserve">1.6.3</t>
  </si>
  <si>
    <t xml:space="preserve">Isolamento dalle fonti di alimentazione di energia</t>
  </si>
  <si>
    <t xml:space="preserve">Tutte le zone legate agli elementi mobili e/o alle parti attive dell'impianto.</t>
  </si>
  <si>
    <t xml:space="preserve">1.1.1 Pericolo di schiacciamento
1.1.2 Pericolo di cesoiamento
1.1.3 Pericolo di taglio o di sezionamento
1.1.4 Pericolo di impigliamento
1.1.6 Pericolo di urto
1.1.7 Pericolo di perforazione o di puntura
1.1.8 Pericolo di attrito o di abrasione
1.2.2 Posizione relativa (può generare zone di schiacciamento, di cesoiamento, di impigliamento, ecc. quando le parti sono in movimento)
2.1 Contatto di persone con elementi normalmente in tensione (contatto diretto)
2.2 Contatto di persone con elementi che entrano in tensione in caso di guasto (contatto indiretto)</t>
  </si>
  <si>
    <t xml:space="preserve">L’Impianto di smerigliatura e lucidatura rubinetteria viene progettato per eseguire in modo automatico le operazioni di smerigliatura e, successivamente, di pulitura di componenti di rubinetteria.
L'impianto sarà realizzato con le due zone di lavoro (di smerigliatura e di pulitura) separate fisicamente (ognuna avrà una propria cabina di protezione), anche dal punto di vista delle alimentazioni.
Le fonti di alimentazione di energia dell'impianto saranno elettrica e pneumatica.
In generale:
- Vi sarà un dispositivo di sezionamento per ogni tipo di fonte di alimentazione di energia.
- I dispositivi di isolamento delle fonti di alimentazione di energia saranno ubicati fuori dalle zone pericolose.
ZONA DI SMERIGLIATURA - Alimentazione elettrica Il quadro elettrico della zona di smerigliatura avrà un interruttore di sezionamento della fonte di alimentazione elettrica dell'intera zona di smerigliatura. Questo dispositivo avrà un'etichetta che riporterà una dicitura tipo "SMERIGLIATURA".
Ponendo il sezionatore su "0/OFF", la zona di smerigliatura verrà elettricamente disalimentata.
I quadri controller dei robot antropomorfi prenderanno alimentazione dal quadro elettrico della zona di smerigliatura, e avranno un proprio dispositivo di sezionamento elettrico.
Tutti i dispositivi di sezionamento saranno "lucchettabili" in modo che la loro posizione di "0/OFF" possa essere bloccata.
L'impianto elettrico della zona di smerigliatura sarà realizzato in modo tale che l'illuminazione interna alla cabina di protezione della zona di smerigliatura possa rimanere accesa anche quando il sezionatore viene posizionato su "0/OFF", in modo da consentire gli interventi previsti al suo interno.
ZONA DI PULITURA - Alimentazione elettrica Il quadro elettrico della zona di pulitura avrà un interruttore di sezionamento della fonte di alimentazione elettrica dell'intera zona di pulitura. Questo dispositivo avrà un'etichetta che riporterà una dicitura tipo "PULITURA".
Ponendo il sezionatore su "0/OFF", la zona di pulitura verrà elettricamente disalimentata.
Il dispositivo di sezionamento sarà "lucchettabile" in modo che la sua posizione in "0/OFF" possa essere bloccata.
L'impianto elettrico della zona di pulitura sarà realizzato in modo tale che l'illuminazione interna alla cabina di protezione della zona di pulitura possa rimanere accesa anche quando il sezionatore viene posizionato su "0/OFF", in modo da consentire gli interventi previsti al suo interno.
ZONA DI SMERIGLIATURA - Alimentazione pneumatica La valvola di sezionamento manuale della fonte di alimentazione pneumatica sarà posta sul gruppo di trattamento aria principale della zona di smerigliatura.
Ruotando la valvola su "0/OFF", la zona di smerigliatura verrà pneumaticamente disalimentata.
A valle del gruppo di trattamento aria principale della zona di smerigliatura, vi saranno ulteriori rubinetti che consentiranno la disalimentazione di uno specifico circuito, come quello di alimentazione delle pinze porta-pezzo, e altri che consentiranno lo scarico della pressione dei circuiti pneumatici.
La valvola di sezionamento manuale sarà "lucchettabile" in modo che la sua posizione di "0/OFF" possa essere bloccata.
ZONA DI PULITURA - Alimentazione pneumatica La valvola di sezionamento manuale della fonte di alimentazione pneumatica sarà posta sul gruppo di trattamento aria principale della zona di pulitura.
Ruotando la valvola su "0/OFF", la zona di pulitura verrà pneumaticamente disalimentata.
A valle del gruppo di trattamento aria principale della zona di pulitura, vi saranno ulteriori rubinetti che consentiranno la disalimentazione di uno specifico circuito, come quello di alimentazione delle pinze porta-pezzo, e altri che consentiranno lo scarico della pressione dei circuiti pneumatici.
La valvola di sezionamento manuale sarà "lucchettabile" in modo che la sua posizione di "0/OFF" possa essere bloccata.</t>
  </si>
  <si>
    <t xml:space="preserve">Nelle istruzioni dell'impianto si riporta:
- L'obbligo di eseguire manutenzioni, pulizia e riparazioni con l'impianto fermo, isolato da tutte le fonti di alimentazione, nonché scarico dalle pressioni residue.
- L'obbligo di sostituire una pinza porta-pezzo con il relativo circuito di alimentazione scarico dalla pressione.
- L'avvertenza "Alcuni componenti dell’equipaggiamento elettrico possono trovarsi sotto tensione anche dopo il disinserimento della tensione di rete. Prima di rimuovere la copertura degli apparecchi (ad es. inverter), attendere almeno 5 minuti, affinché la tensione si riduca a valori trascurabili." Segnaletica
4.3.8 4.3.2 Prescrizioni Prescrizioni elettriche pneumatiche</t>
  </si>
  <si>
    <t xml:space="preserve">Norme A: EN ISO 12100 Norme B: EN ISO 14118; EN 60204-1 | Norme: ISO/TR 14121-2</t>
  </si>
  <si>
    <t xml:space="preserve">LIB-070</t>
  </si>
  <si>
    <t xml:space="preserve">1.6.4</t>
  </si>
  <si>
    <t xml:space="preserve">Intervento dell'operatore</t>
  </si>
  <si>
    <t xml:space="preserve">L'impianto verrà progettato per limitare il più possibile la necessità d'intervento dell'operatore.
La lubrificazione degli organi meccanici verrà così gestita:
- automaticamente, mediante un sistema automatico di lubrificazione per ciascuna zona dell'impianto, per le
chiocciole a ricircolo di sfere;
- manualmente per i manicotti, utilizzando grasso.
La sostituzione delle pinze porta-pezzo, in caso si debba cambiare il tipo di prodotto da lavorare (tra quelli previsti che possono essere lavorati dall'impianto), sarà eseguita con tutte le stazioni di lavoro in posizione di riposo/inizio ciclo. In questo modo l'operatore potrà raggiungere la parte su cui intervenire senza ulteriori mezzi e senza adottare posizioni poco ergonomiche.
La sostituzione degli utensili potrebbe essere necessaria anche durante il funzionamento dell'impianto, sia a seguito di un controllo visivo dei pezzi da parte dell'operatore che per segnalazione della logica di controllo (sulla base dei parametri impostati).
Per la sostituzione degli utensili, l'operatore dovrà accedere all'interno della zona protetta, e quindi vigeranno le condizioni di sicurezza indicate al RESS 1.3.7.
In ogni caso l'operazione sarà facile e richiederà poco tempo.
Le operazioni di pulizia dei residui di lavorazione dovranno essere effettuate costantemente e secondo la frequenza che verrà indicata nelle istruzioni d'uso.
Tutte le operazioni di manutenzione e regolazione dovranno essere eseguite con impianto isolato (sezionato) dalle alimentazioni e con i circuiti pneumatici scaricati dalle pressioni residue.
Verranno date informazioni per il corretto intervento dell'operatore nelle istruzioni dell'impianto.</t>
  </si>
  <si>
    <t xml:space="preserve">LIB-071</t>
  </si>
  <si>
    <t xml:space="preserve">1.7.1</t>
  </si>
  <si>
    <t xml:space="preserve">Informazioni e avvertenze sulla macchina</t>
  </si>
  <si>
    <t xml:space="preserve">Informazioni, marcatura e istruzioni</t>
  </si>
  <si>
    <t xml:space="preserve">Le informazioni ed avvertenze sull'impianto saranno relative principalmente ai rischi residui (vedere RESS 1.7.2) e ai dispositivi di protezione individuale (DPI) da usare.
Le avvertenze applicate direttamente sulle parti dell'impianto saranno sotto forma di simboli o pittogrammi ISO 7010.
Le informazioni scritte, principalmente associate ai pittogrammi di avvertenza, saranno in una lingua ufficiale della Comunità in uso dallo Stato in cui viene immesso l'impianto.</t>
  </si>
  <si>
    <t xml:space="preserve">Norme A: EN ISO 12100 Norme B: EN 981; EN 61310-1; EN 61310-2 | Norme: ISO/TR 14121-2</t>
  </si>
  <si>
    <t xml:space="preserve">LIB-072</t>
  </si>
  <si>
    <t xml:space="preserve">1.7.1.1</t>
  </si>
  <si>
    <t xml:space="preserve">Informazioni e dispositivi di informazione</t>
  </si>
  <si>
    <t xml:space="preserve">Le schermate dei pannelli operatori riporteranno immagini/sinottici della zona o della stazione interessata e informazioni sotto forma di scritte e icone.
Le icone saranno con una simbologia di facile comprensione.
La lingua delle scritte potrà essere selezionata da una pagina specifica dei pannelli operatori. Le lingue a disposizione saranno
almeno italiano e inglese. Ulteriori lingue saranno previste quando l'impianto sarà messo in servizio in un altro Paese.
L'interfaccia di dialogo con l'operatore sarà organizzata in modo gerarchico: da ciascuna pagina l'operatore potrà sempre vedere a quale parte dell'impianto si fa riferimento, lo stato e la condizione degli organi oggetto della pagina visualizzata.</t>
  </si>
  <si>
    <t xml:space="preserve">Norme A: EN ISO 12100 Norme B: EN 894-1; EN 894-2; EN 61310-1; EN 61310-2; EN 61310-3; EN 842; EN 981 | Norme: ISO/TR 14121-2</t>
  </si>
  <si>
    <t xml:space="preserve">LIB-073</t>
  </si>
  <si>
    <t xml:space="preserve">1.7.1.2</t>
  </si>
  <si>
    <t xml:space="preserve">Dispositivi di allarme</t>
  </si>
  <si>
    <t xml:space="preserve">Il funzionamento dell'impianto sarà sempre sorvegliato dall'operatore addetto alla conduzione, preposto a sovrintendere a tutte le operazioni svolte dall'impianto.
Verranno date indicazioni nelle istruzioni dell'impianto.
L'impianto sarà dotato di due colonne luminose di segnalazione dello stato dell'impianto, una specifica della zona di smerigliatura e l'altra specifica della zona di pulitura.
Ciascuna colonna luminosa sarà ubicata in corrispondenza della propria zona a cui fa riferimento, posta in modo tale che l'operatore addetto alla conduzione nella sua postazione di lavoro principale possa vederle (entrambe) direttamente.
Le colonne luminose saranno dotate di gemme di colore diverso. L'ordine di posizione delle gemme e il colore associato alla segnalazione rispetteranno quanto indicato dalle norme di riferimento EN 60204-1 e EN 61310-1.
Le colonne luminose avranno i seguenti indicatori luminosi disposti in ordine dal primo in alto, all'ultimo in basso:
- ROSSO: Emergenza.
- GIALLO: Anomalia, condizione critica che richiede l'intervento dell'operatore per il ripristino.
- BLU: Obbligatorio, indicazione di una condizione che richiede un'azione dell'operatore, come zona o stazione di lavoro da azzerare;
- VERDE:
- quando lampeggiante: ciclo di lavoro pronto per essere avviato;
- quando fissa: ciclo di lavoro in corso;
- BIANCO, di segnalazione presenza tensione.</t>
  </si>
  <si>
    <t xml:space="preserve">Norme A: EN ISO 12100 Norme B: EN 61310-1; EN 981 | Norme: ISO/TR 14121-2</t>
  </si>
  <si>
    <t xml:space="preserve">LIB-074</t>
  </si>
  <si>
    <t xml:space="preserve">1.7.2</t>
  </si>
  <si>
    <t xml:space="preserve">Avvertenze in merito ai rischi residui</t>
  </si>
  <si>
    <t xml:space="preserve">In merito ai rischi residui verranno date informazioni nelle istruzioni dell'impianto.
Verrà inoltre applicata della cartellonistica di avvertenza sulle parti dell'impianto con la segnalazione del pericolo associato.</t>
  </si>
  <si>
    <t xml:space="preserve">Nelle istruzioni dell'impianto verranno indicati i rischi residui.
Rischio residuo Rischio residuo di elettrocuzione: sulle parti elettriche in tensione o fuori tensione deve operare esclusivamente personale tecnico preposto (PES, PAV e PEI), che deve adottare le dovute precauzioni.
Rischi connessi alla presenza di pressione residua sui dispositivi pneumatici: l’impianto pneumatico deve essere sempre scaricato manualmente da un operatore qualificato prima di eseguire qualsiasi intervento sulle parti dell’impianto.
Rischio di caduta/proiezione del pezzo in presa su una pinza porta-pezzo (del robot, del manipolatore, della tavola rotante) qualora vi sia un’anomalia/guasto, disalimentazione o errore di programmazione:
- Durante i TEST porsi al di fuori della potenziale linea di proiezione sia del pezzo in lavorazione (qualora dovesse sfuggire dalla presa della pinza porta-pezza), sia del materiale asportato o degli utensili (spazzole, nastri abrasivi).
- Quando si accede all’area protetta indossare sempre tutti i dispositivi di protezione individuale previsti.
Rischio residuo di urto, schiacciamento, taglio, sezionamento, abrasione: dovuto al contatto con elementi mobili, durante le operazioni di test, ripristino e durante le operazioni di manutenzione straordinaria e/o ricerca guasti.
- Solo personale addestrato può utilizzare uno dei terminali portatili per la movimentazione delle parti dell’impianto all’interno dell’area protetta (riconosciuto tramite credenziali di accesso).
- Durante le manovre in test, mai porsi all’interno dello spazio di azione della stazione di lavoro o dei robot. Mantenersi sempre a distanza di sicurezza.
- Eseguire le manutenzioni sempre con impianto fermo, sezionato dalle alimentazioni e scaricato dalle pressioni residue.
Rischio residuo di spruzzatura della pasta liquida.
- Mai porsi sotto all’ugello di spruzzatura.
- Quando si deve intervenire sulle pistole di spruzzatura, indossare sempre tutti i dispositivi di protezione individuale previsti.
Rischio residuo di scottatura: Quando si manipolano i pezzi indossare guanti termoisolanti. Alcune parti dell’impianto possono raggiungere temperature superficiali elevate.
Rischio residuo legate alle sostanze prodotte e usate per la produzione (pericolo biologico o in ogni caso dannose per la salute delle persone): la composizione delle sostanze è varia, costituite dal materiale smerigliato/lucidato, dalle paste abrasive usate e dai materiali degli utensili usati (spazzole e nastri abrasivi). Per questi motivi, oltre a quanto indicato di seguito, il Cliente Utilizzatore dovrà effettuare una specifica valutazione del rischio chimico.
Rischi residui legati alla presenza di altre persone: Quando si accede a un’area protetta, portare sempre con sé la chiave del selettore modale di zona. E’ vietato l’accesso alle cabina di protezione a personale estraneo.</t>
  </si>
  <si>
    <t xml:space="preserve">Norme A: EN ISO 12100 Norme B: EN 61310-1; EN 842; EN 981 | Norme: ISO/TR 14121-2</t>
  </si>
  <si>
    <t xml:space="preserve">LIB-075</t>
  </si>
  <si>
    <t xml:space="preserve">1.7.3</t>
  </si>
  <si>
    <t xml:space="preserve">Marcatura delle macchine</t>
  </si>
  <si>
    <t xml:space="preserve">Sull'impianto verrà apposta la targa di marcatura CE, che riporterà le indicazioni richieste dal presente punto.
La marcatura CE dell'impianto sarà visibile, leggibile ed indelebile.
Vedere la sezione "Marcatura CE" del Fascicolo Tecnico.</t>
  </si>
  <si>
    <t xml:space="preserve">Norme A: EN ISO 12100 Norme B: EN 82079-1 | Norme: ISO/TR 14121-2</t>
  </si>
  <si>
    <t xml:space="preserve">LIB-076</t>
  </si>
  <si>
    <t xml:space="preserve">1.7.4</t>
  </si>
  <si>
    <t xml:space="preserve">Istruzioni</t>
  </si>
  <si>
    <t xml:space="preserve">L'impianto sarà accompagnato da un manuale d'uso e manutenzione nella lingua ufficiale dello Stato in cui viene esso immesso.
Le istruzioni in lingua italiana saranno le "istruzioni originali".
Le istruzioni tradotte in altra lingua saranno la "traduzione delle istruzioni originali".
Insieme alla traduzione delle istruzioni originali saranno allegate le "istruzioni originali".</t>
  </si>
  <si>
    <t xml:space="preserve">LIB-077</t>
  </si>
  <si>
    <t xml:space="preserve">1.7.4.1</t>
  </si>
  <si>
    <t xml:space="preserve">Principi generali di redazione</t>
  </si>
  <si>
    <t xml:space="preserve">Sulla copertina delle istruzioni verrà riportata la dicitura "istruzioni originali".
La traduzione delle istruzioni in altre lingue riporterà sulla copertina la dicitura "traduzione delle istruzioni originali".
L'impianto sarà destinato all'uso industriale-professionale.
Sul manuale si riporteranno le informazioni sull'uso previsto dell'impianto.
Sul manuale si riporteranno le informazioni sull'uso scorretto ragionevolmente prevedibile dell'impianto.</t>
  </si>
  <si>
    <t xml:space="preserve">LIB-078</t>
  </si>
  <si>
    <t xml:space="preserve">1.7.4.2</t>
  </si>
  <si>
    <t xml:space="preserve">Contenuto delle istruzioni</t>
  </si>
  <si>
    <t xml:space="preserve">Vedere la sezione "Manuale d'uso e manutenzione" del Fascicolo Tecnico.</t>
  </si>
  <si>
    <t xml:space="preserve">Le informazioni pertinenti richieste dal presente requisito verranno date nel manuale d'uso e manutenzione che accompagna
l'impianto.</t>
  </si>
  <si>
    <t xml:space="preserve">Schede in libreria</t>
  </si>
  <si>
    <t xml:space="preserve">Condizione di attivazione proposta</t>
  </si>
  <si>
    <t xml:space="preserve">Schede con esito finale non verde o mancante</t>
  </si>
  <si>
    <t xml:space="preserve">Note</t>
  </si>
  <si>
    <t xml:space="preserve">Comprende postazione manuale, pinza porta-pezzo e varco di carico/scarico.</t>
  </si>
  <si>
    <t xml:space="preserve">Descrizione complessiva della zona: da ridistribuire sui singoli moduli.</t>
  </si>
  <si>
    <t xml:space="preserve">Nel documento robot e smerigliatrici a nastro sono valutati insieme; conviene separarli in due moduli.</t>
  </si>
  <si>
    <t xml:space="preserve">Totale</t>
  </si>
  <si>
    <t xml:space="preserve">RESS All. I 2006/42/CE</t>
  </si>
  <si>
    <t xml:space="preserve">Titolo</t>
  </si>
  <si>
    <t xml:space="preserve">Schede nella valutazione 200741V</t>
  </si>
  <si>
    <t xml:space="preserve">Stato nella valutazione</t>
  </si>
  <si>
    <t xml:space="preserve">Punto All. III Reg. (UE) 2023/1230</t>
  </si>
  <si>
    <t xml:space="preserve">Novità del Regolamento (sintesi da verificare sul testo ufficiale)</t>
  </si>
  <si>
    <t xml:space="preserve">Azione per la libreria</t>
  </si>
  <si>
    <t xml:space="preserve">Stessa numerazione. Testo da confrontare riga per riga.</t>
  </si>
  <si>
    <t xml:space="preserve">La valutazione deve considerare anche i pericoli che nascono dopo l'immissione sul mercato per effetto dell'evoluzione prevista del comportamento della macchina (macchine con autonomia o comportamento auto-evolutivo).</t>
  </si>
  <si>
    <t xml:space="preserve">Aggiungere la domanda: la macchina ha funzioni che apprendono o si auto-adattano? Per impianti a ricetta fissa la risposta attesa è no, ma va scritta.</t>
  </si>
  <si>
    <t xml:space="preserve">Aggiunti punti sull'interfaccia uomo-macchina adattata alle caratteristiche prevedibili degli operatori e sull'interazione con macchine a comportamento auto-evolutivo.</t>
  </si>
  <si>
    <t xml:space="preserve">Verificare HMI, terminali portatili e pendenti robot rispetto ai nuovi punti.</t>
  </si>
  <si>
    <t xml:space="preserve">1.1.7</t>
  </si>
  <si>
    <t xml:space="preserve">Posti di lavoro</t>
  </si>
  <si>
    <t xml:space="preserve">Non trattato nel documento: motivare la non applicabilità o valutare le postazioni operatore.</t>
  </si>
  <si>
    <t xml:space="preserve">1.1.8</t>
  </si>
  <si>
    <t xml:space="preserve">Sedili</t>
  </si>
  <si>
    <t xml:space="preserve">Non trattato: motivare la non applicabilità.</t>
  </si>
  <si>
    <t xml:space="preserve">—</t>
  </si>
  <si>
    <t xml:space="preserve">Protezione contro la corruzione (NUOVO)</t>
  </si>
  <si>
    <t xml:space="preserve">1.1.9</t>
  </si>
  <si>
    <t xml:space="preserve">Requisito nuovo: il collegamento ad altri dispositivi o a reti non deve creare situazioni pericolose; hardware, software e dati rilevanti per la sicurezza vanno identificati e protetti da corruzione accidentale o intenzionale; la macchina deve raccogliere evidenze degli interventi, legittimi o no, sul software.</t>
  </si>
  <si>
    <t xml:space="preserve">Creare schede nuove: accessi con credenziali, ricette, terminale portatile, teleassistenza, porte di rete e USB del PLC/CNC e dei robot.</t>
  </si>
  <si>
    <t xml:space="preserve">Aggiunti: resistenza a tentativi dolosi ragionevolmente prevedibili da parte di terzi; registro di tracciamento degli interventi e delle versioni del software di sicurezza caricate dopo l'immissione sul mercato; limiti per le funzioni a comportamento auto-evolutivo; requisiti per comando a distanza e senza fili.</t>
  </si>
  <si>
    <t xml:space="preserve">Integrare le schede esistenti (oggi solo PLr e categoria) con la parte software e tracciabilità.</t>
  </si>
  <si>
    <t xml:space="preserve">1.2.4.2</t>
  </si>
  <si>
    <t xml:space="preserve">Arresto operativo</t>
  </si>
  <si>
    <t xml:space="preserve">Non trattato: verificare se esistono arresti con attuatori alimentati (es. robot in arresto controllato) e valutare.</t>
  </si>
  <si>
    <t xml:space="preserve">1.2.4.4</t>
  </si>
  <si>
    <t xml:space="preserve">Insiemi di macchine</t>
  </si>
  <si>
    <t xml:space="preserve">Non trattato, ma l'impianto è composto da due zone collegate: valutare il coordinamento degli arresti tra zona di smerigliatura e zona di pulitura.</t>
  </si>
  <si>
    <t xml:space="preserve">1.3.5</t>
  </si>
  <si>
    <t xml:space="preserve">Rischi dovuti alle macchine combinate</t>
  </si>
  <si>
    <t xml:space="preserve">1.3.6</t>
  </si>
  <si>
    <t xml:space="preserve">Rischi connessi alle variazioni delle condizioni di funzionamento</t>
  </si>
  <si>
    <t xml:space="preserve">Non trattato: valutare il cambio formato (velocità nastri e spazzole, utensili diversi).</t>
  </si>
  <si>
    <t xml:space="preserve">Aggiunta la prevenzione dei rischi di contatto e dello stress psichico quando persone e macchina condividono lo spazio senza collaborazione diretta.</t>
  </si>
  <si>
    <t xml:space="preserve">Rilevante per la modalità TEST con operatore vicino a robot e utensili: integrare le schede di programmazione.</t>
  </si>
  <si>
    <t xml:space="preserve">Requisiti generali (ripari e dispositivi di protezione)</t>
  </si>
  <si>
    <t xml:space="preserve">1.4.2.3</t>
  </si>
  <si>
    <t xml:space="preserve">Ripari regolabili che limitano l'accesso</t>
  </si>
  <si>
    <t xml:space="preserve">Oggi copre solo quadri elettrici e spazzole: estendere a depositi di polvere, condotti di aspirazione e residui di pasta.</t>
  </si>
  <si>
    <t xml:space="preserve">1.5.7</t>
  </si>
  <si>
    <t xml:space="preserve">Esplosione</t>
  </si>
  <si>
    <t xml:space="preserve">Non trattato: valutare le polveri metalliche e i residui di lucidatura come possibile atmosfera esplosiva, dentro la macchina e verso l'aspirazione.</t>
  </si>
  <si>
    <t xml:space="preserve">1.5.9</t>
  </si>
  <si>
    <t xml:space="preserve">Vibrazioni</t>
  </si>
  <si>
    <t xml:space="preserve">Non trattato: motivare la non applicabilità o valutare.</t>
  </si>
  <si>
    <t xml:space="preserve">1.5.10</t>
  </si>
  <si>
    <t xml:space="preserve">Radiazioni</t>
  </si>
  <si>
    <t xml:space="preserve">Radiazioni esterne</t>
  </si>
  <si>
    <t xml:space="preserve">1.5.12</t>
  </si>
  <si>
    <t xml:space="preserve">Radiazioni laser</t>
  </si>
  <si>
    <t xml:space="preserve">Aggiungere la valutazione delle polveri di ottone al piombo e chiarire il ruolo dell'aspirazione a carico del cliente.</t>
  </si>
  <si>
    <t xml:space="preserve">1.5.15</t>
  </si>
  <si>
    <t xml:space="preserve">Rischio di scivolamento, inciampo o caduta</t>
  </si>
  <si>
    <t xml:space="preserve">Non ha una scheda propria: l'inciampo è citato solo al RESS 1.6.2. Creare la scheda.</t>
  </si>
  <si>
    <t xml:space="preserve">1.5.16</t>
  </si>
  <si>
    <t xml:space="preserve">Fulmine</t>
  </si>
  <si>
    <t xml:space="preserve">Accesso ai posti di lavoro e ai punti d'intervento</t>
  </si>
  <si>
    <t xml:space="preserve">Aggiunto: nelle macchine in cui le persone devono entrare, gli accessi devono consentire un soccorso tempestivo.</t>
  </si>
  <si>
    <t xml:space="preserve">Verificare dimensioni e apertura delle porte delle cabine anche ai fini del soccorso.</t>
  </si>
  <si>
    <t xml:space="preserve">1.6.5</t>
  </si>
  <si>
    <t xml:space="preserve">Pulitura delle parti interne</t>
  </si>
  <si>
    <t xml:space="preserve">Non trattato, ma la pulizia frequente degli accumuli è prescritta nel manuale: creare la scheda.</t>
  </si>
  <si>
    <t xml:space="preserve">Dati del fabbricante ampliati (indirizzo postale e contatto elettronico).</t>
  </si>
  <si>
    <t xml:space="preserve">Aggiornare il modello di targa.</t>
  </si>
  <si>
    <t xml:space="preserve">Le istruzioni possono essere fornite in formato digitale, con copia cartacea gratuita su richiesta dell'utilizzatore al momento dell'acquisto.</t>
  </si>
  <si>
    <t xml:space="preserve">Decidere il formato di consegna e riportarlo nella scheda.</t>
  </si>
  <si>
    <t xml:space="preserve">Elenco dei contenuti ampliato.</t>
  </si>
  <si>
    <t xml:space="preserve">Confrontare l'indice del manuale con il nuovo elenco.</t>
  </si>
  <si>
    <t xml:space="preserve">1.7.4.3</t>
  </si>
  <si>
    <t xml:space="preserve">Pubblicazioni illustrative o promozionali</t>
  </si>
  <si>
    <t xml:space="preserve">Non trattato: motivare o aggiungere una riga di verifica.</t>
  </si>
  <si>
    <t xml:space="preserve">Norma</t>
  </si>
  <si>
    <t xml:space="preserve">Edizione citata nella relazione (2020)</t>
  </si>
  <si>
    <t xml:space="preserve">Oggetto</t>
  </si>
  <si>
    <t xml:space="preserve">Edizione più recente a me nota</t>
  </si>
  <si>
    <t xml:space="preserve">Nota</t>
  </si>
  <si>
    <t xml:space="preserve">EN ISO 12100</t>
  </si>
  <si>
    <t xml:space="preserve">2010</t>
  </si>
  <si>
    <t xml:space="preserve">Principi generali di progettazione, valutazione e riduzione del rischio</t>
  </si>
  <si>
    <t xml:space="preserve">EN ISO 11161</t>
  </si>
  <si>
    <t xml:space="preserve">Sistemi di fabbricazione integrati</t>
  </si>
  <si>
    <t xml:space="preserve">2007+A1:2010</t>
  </si>
  <si>
    <t xml:space="preserve">EN ISO 10218-2</t>
  </si>
  <si>
    <t xml:space="preserve">2011</t>
  </si>
  <si>
    <t xml:space="preserve">Sistemi e integrazione di robot</t>
  </si>
  <si>
    <t xml:space="preserve">2025</t>
  </si>
  <si>
    <t xml:space="preserve">Edizione superata: nuova struttura, include requisiti di cybersicurezza.</t>
  </si>
  <si>
    <t xml:space="preserve">EN ISO 13849-1</t>
  </si>
  <si>
    <t xml:space="preserve">2015</t>
  </si>
  <si>
    <t xml:space="preserve">Parti dei sistemi di comando legate alla sicurezza</t>
  </si>
  <si>
    <t xml:space="preserve">2023</t>
  </si>
  <si>
    <t xml:space="preserve">Edizione superata.</t>
  </si>
  <si>
    <t xml:space="preserve">EN ISO 13849-2</t>
  </si>
  <si>
    <t xml:space="preserve">2012</t>
  </si>
  <si>
    <t xml:space="preserve">Validazione</t>
  </si>
  <si>
    <t xml:space="preserve">EN ISO 13850</t>
  </si>
  <si>
    <t xml:space="preserve">EN ISO 13854</t>
  </si>
  <si>
    <t xml:space="preserve">2019</t>
  </si>
  <si>
    <t xml:space="preserve">Spazi minimi contro lo schiacciamento</t>
  </si>
  <si>
    <t xml:space="preserve">EN ISO 13855</t>
  </si>
  <si>
    <t xml:space="preserve">Posizionamento dei mezzi di protezione</t>
  </si>
  <si>
    <t xml:space="preserve">2024</t>
  </si>
  <si>
    <t xml:space="preserve">EN ISO 13857</t>
  </si>
  <si>
    <t xml:space="preserve">2008</t>
  </si>
  <si>
    <t xml:space="preserve">Distanze di sicurezza arti superiori e inferiori</t>
  </si>
  <si>
    <t xml:space="preserve">EN ISO 14118</t>
  </si>
  <si>
    <t xml:space="preserve">2018</t>
  </si>
  <si>
    <t xml:space="preserve">Prevenzione dell'avviamento inatteso</t>
  </si>
  <si>
    <t xml:space="preserve">EN ISO 14119</t>
  </si>
  <si>
    <t xml:space="preserve">2013</t>
  </si>
  <si>
    <t xml:space="preserve">Dispositivi di interblocco associati ai ripari</t>
  </si>
  <si>
    <t xml:space="preserve">EN ISO 14120</t>
  </si>
  <si>
    <t xml:space="preserve">Ripari fissi e mobili</t>
  </si>
  <si>
    <t xml:space="preserve">EN ISO 4414</t>
  </si>
  <si>
    <t xml:space="preserve">Pneumatica, regole generali e requisiti di sicurezza</t>
  </si>
  <si>
    <t xml:space="preserve">EN 60204-1</t>
  </si>
  <si>
    <t xml:space="preserve">Equipaggiamento elettrico delle macchine</t>
  </si>
  <si>
    <t xml:space="preserve">EN 61439-1</t>
  </si>
  <si>
    <t xml:space="preserve">Quadri BT, regole generali</t>
  </si>
  <si>
    <t xml:space="preserve">2021</t>
  </si>
  <si>
    <t xml:space="preserve">EN 547-1 / -2 / -3</t>
  </si>
  <si>
    <t xml:space="preserve">2009</t>
  </si>
  <si>
    <t xml:space="preserve">Misure del corpo umano</t>
  </si>
  <si>
    <t xml:space="preserve">1996+A1:2008</t>
  </si>
  <si>
    <t xml:space="preserve">L'anno 2009 è quello del recepimento UNI.</t>
  </si>
  <si>
    <t xml:space="preserve">IEC/IEEE 82079-1</t>
  </si>
  <si>
    <t xml:space="preserve">Preparazione delle istruzioni per l'uso</t>
  </si>
  <si>
    <t xml:space="preserve">ISO/TR 14121-2</t>
  </si>
  <si>
    <t xml:space="preserve">2012/2013</t>
  </si>
  <si>
    <t xml:space="preserve">Guida pratica ed esempi di metodi di valutazione del rischio</t>
  </si>
  <si>
    <t xml:space="preserve">È un rapporto tecnico, non una norma armonizzata.</t>
  </si>
  <si>
    <t xml:space="preserve">Le edizioni della colonna D vanno verificate sull'elenco delle norme armonizzate pubblicato per il Regolamento (UE) 2023/1230: la presunzione di conformità vale solo per le norme in quell'elenco. Le singole schede citano altre norme, riportate nella colonna "Norme citate" del foglio Libreria. Mancano norme su polveri ed esplosione (es. famiglia EN 1127-1) e una norma di tipo C per il settore, da ricercare.</t>
  </si>
  <si>
    <t xml:space="preserve">N.</t>
  </si>
  <si>
    <t xml:space="preserve">Tema</t>
  </si>
  <si>
    <t xml:space="preserve">Cosa risulta dal documento</t>
  </si>
  <si>
    <t xml:space="preserve">Decisione da prendere</t>
  </si>
  <si>
    <t xml:space="preserve">Decisione Cosmap</t>
  </si>
  <si>
    <t xml:space="preserve">Esplosione da polveri</t>
  </si>
  <si>
    <t xml:space="preserve">Nessuna scheda sul RESS 1.5.7. L'incendio è valutato solo per quadri elettrici e spazzole di lucidatura.</t>
  </si>
  <si>
    <t xml:space="preserve">Classificare le polveri prodotte (ottone, residui di pasta e di spazzola) e decidere se serve una valutazione delle zone interne e dei condotti.</t>
  </si>
  <si>
    <t xml:space="preserve">Ottone al piombo (OT58 / CW617N)</t>
  </si>
  <si>
    <t xml:space="preserve">È tra i materiali lavorabili. La polvere è trattata in modo generico e rimandata alla valutazione del rischio chimico del cliente.</t>
  </si>
  <si>
    <t xml:space="preserve">Stabilire quali informazioni e misure fornisce Cosmap (captazione, pulizia, DPI, avvertenze specifiche sul piombo).</t>
  </si>
  <si>
    <t xml:space="preserve">Aspirazione a carico del cliente</t>
  </si>
  <si>
    <t xml:space="preserve">L'impianto ha solo le bocchette. L'uso senza aspirazione è vietato soltanto nel manuale.</t>
  </si>
  <si>
    <t xml:space="preserve">Solo prescrizione, oppure consenso di marcia dall'aspirazione (segnale di portata o depressione)?</t>
  </si>
  <si>
    <t xml:space="preserve">Due zone, una o due macchine</t>
  </si>
  <si>
    <t xml:space="preserve">La relazione conclude che zona di smerigliatura e zona di pulitura sono due macchine indipendenti da certificare separatamente.</t>
  </si>
  <si>
    <t xml:space="preserve">Definire la regola per le commesse: una dichiarazione per l'insieme o una per zona. Incide sulla struttura dei dati.</t>
  </si>
  <si>
    <t xml:space="preserve">Requisiti non trattati</t>
  </si>
  <si>
    <t xml:space="preserve">Tutti i 47 requisiti presenti sono "applicabili"; quelli esclusi non compaiono e non hanno motivazione (vedi foglio RESS-Regolamento).</t>
  </si>
  <si>
    <t xml:space="preserve">Nel nuovo sistema ogni requisito deve avere una risposta: applicabile con scheda, oppure non applicabile con motivazione.</t>
  </si>
  <si>
    <t xml:space="preserve">Stime finali mancanti</t>
  </si>
  <si>
    <t xml:space="preserve">Cinque schede hanno la stima iniziale ma non quella finale (filtrare la colonna "Note di revisione" nel foglio Libreria).</t>
  </si>
  <si>
    <t xml:space="preserve">Completare le stime.</t>
  </si>
  <si>
    <t xml:space="preserve">Rischi finali non in area verde</t>
  </si>
  <si>
    <t xml:space="preserve">Alcune schede chiudono con esito "Suggerite": modalità TEST e programmazione, guasto dell'alimentazione, parti in tensione e sezionamento (gravità 4).</t>
  </si>
  <si>
    <t xml:space="preserve">Motivare l'accettazione del rischio residuo o aggiungere misure. Con gravità 4 la matrice non arriva mai al verde: valutare se è la regola voluta.</t>
  </si>
  <si>
    <t xml:space="preserve">Testi ripetuti</t>
  </si>
  <si>
    <t xml:space="preserve">La descrizione generale dell'impianto è ricopiata in molte schede.</t>
  </si>
  <si>
    <t xml:space="preserve">Nella libreria tenere la descrizione una sola volta, a livello di commessa, e lasciare nelle schede solo le misure specifiche.</t>
  </si>
  <si>
    <t xml:space="preserve">Robot e nastri in un'unica scheda</t>
  </si>
  <si>
    <t xml:space="preserve">Il gruppo di smerigliatura è valutato come insieme robot + due smerigliatrici.</t>
  </si>
  <si>
    <t xml:space="preserve">Separare in due moduli per poterli riusare in configurazioni diverse.</t>
  </si>
  <si>
    <t xml:space="preserve">Cybersicurezza e software</t>
  </si>
  <si>
    <t xml:space="preserve">Assente, perché non richiesta dalla Direttiva 2006/42/CE.</t>
  </si>
  <si>
    <t xml:space="preserve">Scrivere le schede per il nuovo requisito 1.1.9 e per le integrazioni al 1.2.1.</t>
  </si>
  <si>
    <t xml:space="preserve">Norme superate</t>
  </si>
  <si>
    <t xml:space="preserve">Diverse edizioni citate sono state sostituite (vedi foglio Norme).</t>
  </si>
  <si>
    <t xml:space="preserve">Aggiornare l'elenco e verificare se le nuove edizioni cambiano misure già adottate (distanze, interblocchi, robot).</t>
  </si>
  <si>
    <t xml:space="preserve">Metodo di stima del rischio usato nella valutazione 200741V (metodo ibrido ISO/TR 14121-2, p. 6.5)</t>
  </si>
  <si>
    <t xml:space="preserve">Matrice: esito in funzione di gravità (Se) e classe Cl = Fr + Pr + Av</t>
  </si>
  <si>
    <t xml:space="preserve">Se</t>
  </si>
  <si>
    <t xml:space="preserve">Cl 3-4</t>
  </si>
  <si>
    <t xml:space="preserve">Cl 5-7</t>
  </si>
  <si>
    <t xml:space="preserve">Cl 8-10</t>
  </si>
  <si>
    <t xml:space="preserve">Cl 11-13</t>
  </si>
  <si>
    <t xml:space="preserve">Cl 14-15</t>
  </si>
  <si>
    <t xml:space="preserve">Limite inferiore classe</t>
  </si>
  <si>
    <t xml:space="preserve">Morte, perdita di un occhio o di un braccio</t>
  </si>
  <si>
    <t xml:space="preserve">Suggerite</t>
  </si>
  <si>
    <t xml:space="preserve">Richieste</t>
  </si>
  <si>
    <t xml:space="preserve">Permanente, perdita di dita</t>
  </si>
  <si>
    <t xml:space="preserve">OK</t>
  </si>
  <si>
    <t xml:space="preserve">Reversibile, attenzione medica</t>
  </si>
  <si>
    <t xml:space="preserve">Reversibile, pronto soccorso</t>
  </si>
  <si>
    <t xml:space="preserve">OK = rischio adeguatamente ridotto · Suggerite = misure raccomandate · Richieste = misure obbligatorie.</t>
  </si>
  <si>
    <t xml:space="preserve">Le celle in corsivo non compaiono in nessuna scheda del documento: sono dedotte dallo schema della matrice e vanno confermate sulla Fig. 8-6 della relazione.</t>
  </si>
  <si>
    <t xml:space="preserve">Scale dei fattori (dalla relazione introduttiva, tab. 8-6 … 8-9 e dalle schede)</t>
  </si>
  <si>
    <t xml:space="preserve">Se – Gravità</t>
  </si>
  <si>
    <t xml:space="preserve">Morte, perdita di un occhio o di un braccio; lesioni irreversibili che impediscono la ripresa del lavoro</t>
  </si>
  <si>
    <t xml:space="preserve">Permanente, perdita di dita; lesioni generalmente irreversibili</t>
  </si>
  <si>
    <t xml:space="preserve">Reversibile, richiede attenzione medica</t>
  </si>
  <si>
    <t xml:space="preserve">Fr – Frequenza di esposizione</t>
  </si>
  <si>
    <t xml:space="preserve">Intervallo ≤ 1 ora (non riducibile)</t>
  </si>
  <si>
    <t xml:space="preserve">Intervallo &gt; 1 ora e ≤ 1 giorno (riducibile di un livello se la durata è &lt; 10 min)</t>
  </si>
  <si>
    <t xml:space="preserve">Intervallo &gt; 1 giorno e ≤ 2 settimane</t>
  </si>
  <si>
    <t xml:space="preserve">Intervallo &gt; 2 settimane e ≤ 1 anno</t>
  </si>
  <si>
    <t xml:space="preserve">Intervallo &gt; 1 anno</t>
  </si>
  <si>
    <t xml:space="preserve">Pr – Probabilità dell'evento pericoloso</t>
  </si>
  <si>
    <t xml:space="preserve">Molto alta</t>
  </si>
  <si>
    <t xml:space="preserve">Probabile</t>
  </si>
  <si>
    <t xml:space="preserve">Possibile</t>
  </si>
  <si>
    <t xml:space="preserve">Raramente</t>
  </si>
  <si>
    <t xml:space="preserve">Trascurabile</t>
  </si>
  <si>
    <t xml:space="preserve">Av – Possibilità di evitare il danno</t>
  </si>
  <si>
    <t xml:space="preserve">Impossibile</t>
  </si>
</sst>
</file>

<file path=xl/styles.xml><?xml version="1.0" encoding="utf-8"?>
<styleSheet xmlns="http://schemas.openxmlformats.org/spreadsheetml/2006/main">
  <numFmts count="2">
    <numFmt numFmtId="164" formatCode="General"/>
    <numFmt numFmtId="165" formatCode="General"/>
  </numFmts>
  <fonts count="11">
    <font>
      <sz val="11"/>
      <color theme="1"/>
      <name val="Calibri"/>
      <family val="2"/>
      <charset val="1"/>
    </font>
    <font>
      <sz val="10"/>
      <name val="Arial"/>
      <family val="0"/>
    </font>
    <font>
      <sz val="10"/>
      <name val="Arial"/>
      <family val="0"/>
    </font>
    <font>
      <sz val="10"/>
      <name val="Arial"/>
      <family val="0"/>
    </font>
    <font>
      <b val="true"/>
      <sz val="14"/>
      <name val="Arial"/>
      <family val="0"/>
      <charset val="1"/>
    </font>
    <font>
      <sz val="10"/>
      <name val="Arial"/>
      <family val="0"/>
      <charset val="1"/>
    </font>
    <font>
      <b val="true"/>
      <sz val="11"/>
      <name val="Arial"/>
      <family val="0"/>
      <charset val="1"/>
    </font>
    <font>
      <b val="true"/>
      <sz val="10"/>
      <color rgb="FFFFFFFF"/>
      <name val="Arial"/>
      <family val="0"/>
      <charset val="1"/>
    </font>
    <font>
      <b val="true"/>
      <sz val="10"/>
      <name val="Arial"/>
      <family val="0"/>
      <charset val="1"/>
    </font>
    <font>
      <i val="true"/>
      <sz val="10"/>
      <name val="Arial"/>
      <family val="0"/>
      <charset val="1"/>
    </font>
    <font>
      <b val="true"/>
      <sz val="12"/>
      <name val="Arial"/>
      <family val="0"/>
      <charset val="1"/>
    </font>
  </fonts>
  <fills count="7">
    <fill>
      <patternFill patternType="none"/>
    </fill>
    <fill>
      <patternFill patternType="gray125"/>
    </fill>
    <fill>
      <patternFill patternType="solid">
        <fgColor rgb="FFFFF2CC"/>
        <bgColor rgb="FFFFE699"/>
      </patternFill>
    </fill>
    <fill>
      <patternFill patternType="solid">
        <fgColor rgb="FF1F4E5F"/>
        <bgColor rgb="FF333333"/>
      </patternFill>
    </fill>
    <fill>
      <patternFill patternType="solid">
        <fgColor rgb="FFFFE699"/>
        <bgColor rgb="FFFFF2CC"/>
      </patternFill>
    </fill>
    <fill>
      <patternFill patternType="solid">
        <fgColor rgb="FFF4B084"/>
        <bgColor rgb="FFFF99CC"/>
      </patternFill>
    </fill>
    <fill>
      <patternFill patternType="solid">
        <fgColor rgb="FFC6E0B4"/>
        <bgColor rgb="FFBFBFBF"/>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3">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top" textRotation="0" wrapText="tru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5" fillId="2" borderId="0" xfId="0" applyFont="true" applyBorder="false" applyAlignment="true" applyProtection="false">
      <alignment horizontal="general" vertical="top" textRotation="0" wrapText="true" indent="0" shrinkToFit="false"/>
      <protection locked="true" hidden="false"/>
    </xf>
    <xf numFmtId="164" fontId="7" fillId="3" borderId="1" xfId="0" applyFont="true" applyBorder="true" applyAlignment="true" applyProtection="false">
      <alignment horizontal="center" vertical="center" textRotation="0" wrapText="true" indent="0" shrinkToFit="false"/>
      <protection locked="true" hidden="false"/>
    </xf>
    <xf numFmtId="164" fontId="5" fillId="0" borderId="1" xfId="0" applyFont="true" applyBorder="true" applyAlignment="true" applyProtection="false">
      <alignment horizontal="center" vertical="top" textRotation="0" wrapText="true" indent="0" shrinkToFit="false"/>
      <protection locked="true" hidden="false"/>
    </xf>
    <xf numFmtId="164" fontId="5" fillId="0" borderId="1" xfId="0" applyFont="true" applyBorder="true" applyAlignment="true" applyProtection="false">
      <alignment horizontal="general" vertical="top" textRotation="0" wrapText="true" indent="0" shrinkToFit="false"/>
      <protection locked="true" hidden="false"/>
    </xf>
    <xf numFmtId="164" fontId="5" fillId="2" borderId="1" xfId="0" applyFont="true" applyBorder="true" applyAlignment="true" applyProtection="false">
      <alignment horizontal="general" vertical="top" textRotation="0" wrapText="true" indent="0" shrinkToFit="false"/>
      <protection locked="true" hidden="false"/>
    </xf>
    <xf numFmtId="164" fontId="8" fillId="0" borderId="1" xfId="0" applyFont="true" applyBorder="true" applyAlignment="true" applyProtection="false">
      <alignment horizontal="general" vertical="top" textRotation="0" wrapText="true" indent="0" shrinkToFit="false"/>
      <protection locked="true" hidden="false"/>
    </xf>
    <xf numFmtId="165" fontId="8" fillId="0" borderId="1" xfId="0" applyFont="true" applyBorder="true" applyAlignment="true" applyProtection="false">
      <alignment horizontal="center" vertical="top" textRotation="0" wrapText="true" indent="0" shrinkToFit="false"/>
      <protection locked="true" hidden="false"/>
    </xf>
    <xf numFmtId="164" fontId="9" fillId="0" borderId="0" xfId="0" applyFont="true" applyBorder="true" applyAlignment="true" applyProtection="false">
      <alignment horizontal="general" vertical="top" textRotation="0" wrapText="tru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7" fillId="3" borderId="1" xfId="0" applyFont="true" applyBorder="true" applyAlignment="true" applyProtection="false">
      <alignment horizontal="center" vertical="top" textRotation="0" wrapText="tru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5" fillId="4" borderId="1" xfId="0" applyFont="true" applyBorder="true" applyAlignment="true" applyProtection="false">
      <alignment horizontal="center" vertical="top" textRotation="0" wrapText="true" indent="0" shrinkToFit="false"/>
      <protection locked="true" hidden="false"/>
    </xf>
    <xf numFmtId="164" fontId="9" fillId="5" borderId="1" xfId="0" applyFont="true" applyBorder="true" applyAlignment="true" applyProtection="false">
      <alignment horizontal="center" vertical="top" textRotation="0" wrapText="true" indent="0" shrinkToFit="false"/>
      <protection locked="true" hidden="false"/>
    </xf>
    <xf numFmtId="164" fontId="5" fillId="5" borderId="1" xfId="0" applyFont="true" applyBorder="true" applyAlignment="true" applyProtection="false">
      <alignment horizontal="center" vertical="top" textRotation="0" wrapText="true" indent="0" shrinkToFit="false"/>
      <protection locked="true" hidden="false"/>
    </xf>
    <xf numFmtId="164" fontId="5" fillId="6" borderId="1" xfId="0" applyFont="true" applyBorder="true" applyAlignment="true" applyProtection="false">
      <alignment horizontal="center" vertical="top" textRotation="0" wrapText="true" indent="0" shrinkToFit="false"/>
      <protection locked="true" hidden="false"/>
    </xf>
    <xf numFmtId="164" fontId="9" fillId="6" borderId="1" xfId="0" applyFont="true" applyBorder="true" applyAlignment="true" applyProtection="false">
      <alignment horizontal="center" vertical="top" textRotation="0" wrapText="tru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center"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0">
    <dxf>
      <fill>
        <patternFill patternType="solid">
          <fgColor rgb="FF1F4E5F"/>
          <bgColor rgb="FF000000"/>
        </patternFill>
      </fill>
    </dxf>
    <dxf>
      <fill>
        <patternFill patternType="solid">
          <bgColor rgb="FF000000"/>
        </patternFill>
      </fill>
    </dxf>
    <dxf>
      <fill>
        <patternFill patternType="solid">
          <fgColor rgb="FFFFFFFF"/>
          <bgColor rgb="FF000000"/>
        </patternFill>
      </fill>
    </dxf>
    <dxf>
      <fill>
        <patternFill patternType="solid">
          <fgColor rgb="FFFFF2CC"/>
          <bgColor rgb="FF000000"/>
        </patternFill>
      </fill>
    </dxf>
    <dxf>
      <fill>
        <patternFill patternType="solid">
          <fgColor rgb="FFC6E0B4"/>
          <bgColor rgb="FF000000"/>
        </patternFill>
      </fill>
    </dxf>
    <dxf>
      <fill>
        <patternFill patternType="solid">
          <fgColor rgb="FFF4B084"/>
          <bgColor rgb="FF000000"/>
        </patternFill>
      </fill>
    </dxf>
    <dxf>
      <fill>
        <patternFill patternType="solid">
          <fgColor rgb="FFFFE699"/>
          <bgColor rgb="FF000000"/>
        </patternFill>
      </fill>
    </dxf>
    <dxf>
      <fill>
        <patternFill>
          <bgColor rgb="FFC6E0B4"/>
        </patternFill>
      </fill>
    </dxf>
    <dxf>
      <fill>
        <patternFill>
          <bgColor rgb="FFFFE699"/>
        </patternFill>
      </fill>
    </dxf>
    <dxf>
      <fill>
        <patternFill>
          <bgColor rgb="FFF4B084"/>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6E0B4"/>
      <rgbColor rgb="FFFFE699"/>
      <rgbColor rgb="FF99CCFF"/>
      <rgbColor rgb="FFFF99CC"/>
      <rgbColor rgb="FFCC99FF"/>
      <rgbColor rgb="FFF4B084"/>
      <rgbColor rgb="FF3366FF"/>
      <rgbColor rgb="FF33CCCC"/>
      <rgbColor rgb="FF99CC00"/>
      <rgbColor rgb="FFFFCC00"/>
      <rgbColor rgb="FFFF9900"/>
      <rgbColor rgb="FFFF6600"/>
      <rgbColor rgb="FF666699"/>
      <rgbColor rgb="FF969696"/>
      <rgbColor rgb="FF1F4E5F"/>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_rels/sheet4.xml.rels><?xml version="1.0" encoding="UTF-8"?>
<Relationships xmlns="http://schemas.openxmlformats.org/package/2006/relationships"><Relationship Id="rId1" Type="http://schemas.openxmlformats.org/officeDocument/2006/relationships/drawing" Target="../drawings/drawing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18"/>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30"/>
  </cols>
  <sheetData>
    <row r="1" customFormat="false" ht="24" hidden="false" customHeight="true" outlineLevel="0" collapsed="false">
      <c r="A1" s="1" t="s">
        <v>0</v>
      </c>
    </row>
    <row r="2" customFormat="false" ht="15.75" hidden="false" customHeight="true" outlineLevel="0" collapsed="false">
      <c r="A2" s="2"/>
    </row>
    <row r="3" customFormat="false" ht="30" hidden="false" customHeight="true" outlineLevel="0" collapsed="false">
      <c r="A3" s="2" t="s">
        <v>1</v>
      </c>
    </row>
    <row r="4" customFormat="false" ht="15.75" hidden="false" customHeight="true" outlineLevel="0" collapsed="false">
      <c r="A4" s="2" t="s">
        <v>2</v>
      </c>
    </row>
    <row r="5" customFormat="false" ht="15.75" hidden="false" customHeight="true" outlineLevel="0" collapsed="false">
      <c r="A5" s="2"/>
    </row>
    <row r="6" customFormat="false" ht="15.75" hidden="false" customHeight="true" outlineLevel="0" collapsed="false">
      <c r="A6" s="3" t="s">
        <v>3</v>
      </c>
    </row>
    <row r="7" customFormat="false" ht="30" hidden="false" customHeight="true" outlineLevel="0" collapsed="false">
      <c r="A7" s="2" t="s">
        <v>4</v>
      </c>
    </row>
    <row r="8" customFormat="false" ht="15.75" hidden="false" customHeight="true" outlineLevel="0" collapsed="false">
      <c r="A8" s="2" t="s">
        <v>5</v>
      </c>
    </row>
    <row r="9" customFormat="false" ht="30" hidden="false" customHeight="true" outlineLevel="0" collapsed="false">
      <c r="A9" s="2" t="s">
        <v>6</v>
      </c>
    </row>
    <row r="10" customFormat="false" ht="15.75" hidden="false" customHeight="true" outlineLevel="0" collapsed="false">
      <c r="A10" s="2" t="s">
        <v>7</v>
      </c>
    </row>
    <row r="11" customFormat="false" ht="15.75" hidden="false" customHeight="true" outlineLevel="0" collapsed="false">
      <c r="A11" s="2" t="s">
        <v>8</v>
      </c>
    </row>
    <row r="12" customFormat="false" ht="15.75" hidden="false" customHeight="true" outlineLevel="0" collapsed="false">
      <c r="A12" s="2" t="s">
        <v>9</v>
      </c>
    </row>
    <row r="13" customFormat="false" ht="15.75" hidden="false" customHeight="true" outlineLevel="0" collapsed="false">
      <c r="A13" s="2"/>
    </row>
    <row r="14" customFormat="false" ht="15.75" hidden="false" customHeight="true" outlineLevel="0" collapsed="false">
      <c r="A14" s="3" t="s">
        <v>10</v>
      </c>
    </row>
    <row r="15" customFormat="false" ht="15.75" hidden="false" customHeight="true" outlineLevel="0" collapsed="false">
      <c r="A15" s="4" t="s">
        <v>11</v>
      </c>
    </row>
    <row r="16" customFormat="false" ht="15.75" hidden="false" customHeight="true" outlineLevel="0" collapsed="false">
      <c r="A16" s="2" t="s">
        <v>12</v>
      </c>
    </row>
    <row r="17" customFormat="false" ht="30" hidden="false" customHeight="true" outlineLevel="0" collapsed="false">
      <c r="A17" s="2" t="s">
        <v>13</v>
      </c>
    </row>
    <row r="18" customFormat="false" ht="30" hidden="false" customHeight="true" outlineLevel="0" collapsed="false">
      <c r="A18" s="2" t="s">
        <v>14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7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2" min="1" style="0" width="9"/>
    <col collapsed="false" customWidth="true" hidden="false" outlineLevel="0" max="3" min="3" style="0" width="26"/>
    <col collapsed="false" customWidth="true" hidden="false" outlineLevel="0" max="4" min="4" style="0" width="10"/>
    <col collapsed="false" customWidth="true" hidden="false" outlineLevel="0" max="5" min="5" style="0" width="13"/>
    <col collapsed="false" customWidth="true" hidden="false" outlineLevel="0" max="6" min="6" style="0" width="26"/>
    <col collapsed="false" customWidth="true" hidden="false" outlineLevel="0" max="7" min="7" style="0" width="24"/>
    <col collapsed="false" customWidth="true" hidden="false" outlineLevel="0" max="8" min="8" style="0" width="30"/>
    <col collapsed="false" customWidth="true" hidden="false" outlineLevel="0" max="9" min="9" style="0" width="22"/>
    <col collapsed="false" customWidth="true" hidden="false" outlineLevel="0" max="10" min="10" style="0" width="42"/>
    <col collapsed="false" customWidth="true" hidden="false" outlineLevel="0" max="15" min="11" style="0" width="6"/>
    <col collapsed="false" customWidth="true" hidden="false" outlineLevel="0" max="16" min="16" style="0" width="11"/>
    <col collapsed="false" customWidth="true" hidden="false" outlineLevel="0" max="17" min="17" style="0" width="80"/>
    <col collapsed="false" customWidth="true" hidden="false" outlineLevel="0" max="18" min="18" style="0" width="60"/>
    <col collapsed="false" customWidth="true" hidden="false" outlineLevel="0" max="23" min="19" style="0" width="6"/>
    <col collapsed="false" customWidth="true" hidden="false" outlineLevel="0" max="24" min="24" style="0" width="11"/>
    <col collapsed="false" customWidth="true" hidden="false" outlineLevel="0" max="25" min="25" style="0" width="30"/>
    <col collapsed="false" customWidth="true" hidden="false" outlineLevel="0" max="26" min="26" style="0" width="40"/>
  </cols>
  <sheetData>
    <row r="1" customFormat="false" ht="42" hidden="false" customHeight="true" outlineLevel="0" collapsed="false">
      <c r="A1" s="5" t="s">
        <v>15</v>
      </c>
      <c r="B1" s="5" t="s">
        <v>16</v>
      </c>
      <c r="C1" s="5" t="s">
        <v>17</v>
      </c>
      <c r="D1" s="5" t="s">
        <v>18</v>
      </c>
      <c r="E1" s="5" t="s">
        <v>19</v>
      </c>
      <c r="F1" s="5" t="s">
        <v>20</v>
      </c>
      <c r="G1" s="5" t="s">
        <v>21</v>
      </c>
      <c r="H1" s="5" t="s">
        <v>22</v>
      </c>
      <c r="I1" s="5" t="s">
        <v>23</v>
      </c>
      <c r="J1" s="5" t="s">
        <v>24</v>
      </c>
      <c r="K1" s="5" t="s">
        <v>25</v>
      </c>
      <c r="L1" s="5" t="s">
        <v>26</v>
      </c>
      <c r="M1" s="5" t="s">
        <v>27</v>
      </c>
      <c r="N1" s="5" t="s">
        <v>28</v>
      </c>
      <c r="O1" s="5" t="s">
        <v>29</v>
      </c>
      <c r="P1" s="5" t="s">
        <v>30</v>
      </c>
      <c r="Q1" s="5" t="s">
        <v>31</v>
      </c>
      <c r="R1" s="5" t="s">
        <v>32</v>
      </c>
      <c r="S1" s="5" t="s">
        <v>33</v>
      </c>
      <c r="T1" s="5" t="s">
        <v>34</v>
      </c>
      <c r="U1" s="5" t="s">
        <v>35</v>
      </c>
      <c r="V1" s="5" t="s">
        <v>36</v>
      </c>
      <c r="W1" s="5" t="s">
        <v>37</v>
      </c>
      <c r="X1" s="5" t="s">
        <v>38</v>
      </c>
      <c r="Y1" s="5" t="s">
        <v>39</v>
      </c>
      <c r="Z1" s="5" t="s">
        <v>40</v>
      </c>
    </row>
    <row r="2" customFormat="false" ht="109.5" hidden="false" customHeight="true" outlineLevel="0" collapsed="false">
      <c r="A2" s="6" t="s">
        <v>41</v>
      </c>
      <c r="B2" s="6" t="s">
        <v>42</v>
      </c>
      <c r="C2" s="7" t="s">
        <v>43</v>
      </c>
      <c r="D2" s="6" t="s">
        <v>44</v>
      </c>
      <c r="E2" s="7" t="s">
        <v>45</v>
      </c>
      <c r="F2" s="7" t="s">
        <v>46</v>
      </c>
      <c r="G2" s="8" t="s">
        <v>47</v>
      </c>
      <c r="H2" s="7"/>
      <c r="I2" s="7" t="s">
        <v>48</v>
      </c>
      <c r="J2" s="7"/>
      <c r="K2" s="6"/>
      <c r="L2" s="6"/>
      <c r="M2" s="6"/>
      <c r="N2" s="6"/>
      <c r="O2" s="6" t="str">
        <f aca="false">IF(COUNT(L2:N2)=3,SUM(L2:N2),"")</f>
        <v/>
      </c>
      <c r="P2" s="6" t="str">
        <f aca="false">IF(OR(K2="",O2=""),"",INDEX(Metodo!$C$6:$G$9,MATCH(K2,Metodo!$B$6:$B$9,0),MATCH(O2,Metodo!$C$5:$G$5,1)))</f>
        <v/>
      </c>
      <c r="Q2" s="7" t="s">
        <v>49</v>
      </c>
      <c r="R2" s="7" t="s">
        <v>50</v>
      </c>
      <c r="S2" s="6"/>
      <c r="T2" s="6"/>
      <c r="U2" s="6"/>
      <c r="V2" s="6"/>
      <c r="W2" s="6" t="str">
        <f aca="false">IF(COUNT(T2:V2)=3,SUM(T2:V2),"")</f>
        <v/>
      </c>
      <c r="X2" s="6" t="str">
        <f aca="false">IF(OR(S2="",W2=""),"",INDEX(Metodo!$C$6:$G$9,MATCH(S2,Metodo!$B$6:$B$9,0),MATCH(W2,Metodo!$C$5:$G$5,1)))</f>
        <v/>
      </c>
      <c r="Y2" s="7" t="s">
        <v>51</v>
      </c>
      <c r="Z2" s="8" t="s">
        <v>52</v>
      </c>
    </row>
    <row r="3" customFormat="false" ht="109.5" hidden="false" customHeight="true" outlineLevel="0" collapsed="false">
      <c r="A3" s="6" t="s">
        <v>53</v>
      </c>
      <c r="B3" s="6" t="s">
        <v>54</v>
      </c>
      <c r="C3" s="7" t="s">
        <v>55</v>
      </c>
      <c r="D3" s="6" t="s">
        <v>44</v>
      </c>
      <c r="E3" s="7" t="s">
        <v>45</v>
      </c>
      <c r="F3" s="7" t="s">
        <v>46</v>
      </c>
      <c r="G3" s="8" t="s">
        <v>47</v>
      </c>
      <c r="H3" s="7"/>
      <c r="I3" s="7" t="s">
        <v>48</v>
      </c>
      <c r="J3" s="7"/>
      <c r="K3" s="6"/>
      <c r="L3" s="6"/>
      <c r="M3" s="6"/>
      <c r="N3" s="6"/>
      <c r="O3" s="6" t="str">
        <f aca="false">IF(COUNT(L3:N3)=3,SUM(L3:N3),"")</f>
        <v/>
      </c>
      <c r="P3" s="6" t="str">
        <f aca="false">IF(OR(K3="",O3=""),"",INDEX(Metodo!$C$6:$G$9,MATCH(K3,Metodo!$B$6:$B$9,0),MATCH(O3,Metodo!$C$5:$G$5,1)))</f>
        <v/>
      </c>
      <c r="Q3" s="7" t="s">
        <v>56</v>
      </c>
      <c r="R3" s="7"/>
      <c r="S3" s="6"/>
      <c r="T3" s="6"/>
      <c r="U3" s="6"/>
      <c r="V3" s="6"/>
      <c r="W3" s="6" t="str">
        <f aca="false">IF(COUNT(T3:V3)=3,SUM(T3:V3),"")</f>
        <v/>
      </c>
      <c r="X3" s="6" t="str">
        <f aca="false">IF(OR(S3="",W3=""),"",INDEX(Metodo!$C$6:$G$9,MATCH(S3,Metodo!$B$6:$B$9,0),MATCH(W3,Metodo!$C$5:$G$5,1)))</f>
        <v/>
      </c>
      <c r="Y3" s="7" t="s">
        <v>51</v>
      </c>
      <c r="Z3" s="8" t="s">
        <v>52</v>
      </c>
    </row>
    <row r="4" customFormat="false" ht="109.5" hidden="false" customHeight="true" outlineLevel="0" collapsed="false">
      <c r="A4" s="6" t="s">
        <v>57</v>
      </c>
      <c r="B4" s="6" t="s">
        <v>58</v>
      </c>
      <c r="C4" s="7" t="s">
        <v>59</v>
      </c>
      <c r="D4" s="6" t="s">
        <v>44</v>
      </c>
      <c r="E4" s="7" t="s">
        <v>45</v>
      </c>
      <c r="F4" s="7" t="s">
        <v>46</v>
      </c>
      <c r="G4" s="8" t="s">
        <v>47</v>
      </c>
      <c r="H4" s="7" t="s">
        <v>60</v>
      </c>
      <c r="I4" s="7" t="s">
        <v>61</v>
      </c>
      <c r="J4" s="7" t="s">
        <v>62</v>
      </c>
      <c r="K4" s="6" t="n">
        <v>2</v>
      </c>
      <c r="L4" s="6" t="n">
        <v>4</v>
      </c>
      <c r="M4" s="6" t="n">
        <v>2</v>
      </c>
      <c r="N4" s="6" t="n">
        <v>3</v>
      </c>
      <c r="O4" s="6" t="n">
        <f aca="false">IF(COUNT(L4:N4)=3,SUM(L4:N4),"")</f>
        <v>9</v>
      </c>
      <c r="P4" s="6" t="str">
        <f aca="false">IF(OR(K4="",O4=""),"",INDEX(Metodo!$C$6:$G$9,MATCH(K4,Metodo!$B$6:$B$9,0),MATCH(O4,Metodo!$C$5:$G$5,1)))</f>
        <v>Suggerite</v>
      </c>
      <c r="Q4" s="7" t="s">
        <v>63</v>
      </c>
      <c r="R4" s="7" t="s">
        <v>64</v>
      </c>
      <c r="S4" s="6" t="n">
        <v>2</v>
      </c>
      <c r="T4" s="6" t="n">
        <v>2</v>
      </c>
      <c r="U4" s="6" t="n">
        <v>1</v>
      </c>
      <c r="V4" s="6" t="n">
        <v>3</v>
      </c>
      <c r="W4" s="6" t="n">
        <f aca="false">IF(COUNT(T4:V4)=3,SUM(T4:V4),"")</f>
        <v>6</v>
      </c>
      <c r="X4" s="6" t="str">
        <f aca="false">IF(OR(S4="",W4=""),"",INDEX(Metodo!$C$6:$G$9,MATCH(S4,Metodo!$B$6:$B$9,0),MATCH(W4,Metodo!$C$5:$G$5,1)))</f>
        <v>OK</v>
      </c>
      <c r="Y4" s="7" t="s">
        <v>51</v>
      </c>
      <c r="Z4" s="8"/>
    </row>
    <row r="5" customFormat="false" ht="109.5" hidden="false" customHeight="true" outlineLevel="0" collapsed="false">
      <c r="A5" s="6" t="s">
        <v>65</v>
      </c>
      <c r="B5" s="6" t="s">
        <v>58</v>
      </c>
      <c r="C5" s="7" t="s">
        <v>59</v>
      </c>
      <c r="D5" s="6" t="s">
        <v>66</v>
      </c>
      <c r="E5" s="7" t="s">
        <v>67</v>
      </c>
      <c r="F5" s="7" t="s">
        <v>68</v>
      </c>
      <c r="G5" s="8" t="s">
        <v>69</v>
      </c>
      <c r="H5" s="7" t="s">
        <v>70</v>
      </c>
      <c r="I5" s="7" t="s">
        <v>71</v>
      </c>
      <c r="J5" s="7" t="s">
        <v>72</v>
      </c>
      <c r="K5" s="6" t="n">
        <v>2</v>
      </c>
      <c r="L5" s="6" t="n">
        <v>5</v>
      </c>
      <c r="M5" s="6" t="n">
        <v>2</v>
      </c>
      <c r="N5" s="6" t="n">
        <v>3</v>
      </c>
      <c r="O5" s="6" t="n">
        <f aca="false">IF(COUNT(L5:N5)=3,SUM(L5:N5),"")</f>
        <v>10</v>
      </c>
      <c r="P5" s="6" t="str">
        <f aca="false">IF(OR(K5="",O5=""),"",INDEX(Metodo!$C$6:$G$9,MATCH(K5,Metodo!$B$6:$B$9,0),MATCH(O5,Metodo!$C$5:$G$5,1)))</f>
        <v>Suggerite</v>
      </c>
      <c r="Q5" s="7" t="s">
        <v>73</v>
      </c>
      <c r="R5" s="7" t="s">
        <v>74</v>
      </c>
      <c r="S5" s="6" t="n">
        <v>2</v>
      </c>
      <c r="T5" s="6" t="n">
        <v>4</v>
      </c>
      <c r="U5" s="6" t="n">
        <v>1</v>
      </c>
      <c r="V5" s="6" t="n">
        <v>1</v>
      </c>
      <c r="W5" s="6" t="n">
        <f aca="false">IF(COUNT(T5:V5)=3,SUM(T5:V5),"")</f>
        <v>6</v>
      </c>
      <c r="X5" s="6" t="str">
        <f aca="false">IF(OR(S5="",W5=""),"",INDEX(Metodo!$C$6:$G$9,MATCH(S5,Metodo!$B$6:$B$9,0),MATCH(W5,Metodo!$C$5:$G$5,1)))</f>
        <v>OK</v>
      </c>
      <c r="Y5" s="7" t="s">
        <v>51</v>
      </c>
      <c r="Z5" s="8"/>
    </row>
    <row r="6" customFormat="false" ht="109.5" hidden="false" customHeight="true" outlineLevel="0" collapsed="false">
      <c r="A6" s="6" t="s">
        <v>75</v>
      </c>
      <c r="B6" s="6" t="s">
        <v>76</v>
      </c>
      <c r="C6" s="7" t="s">
        <v>77</v>
      </c>
      <c r="D6" s="6" t="s">
        <v>44</v>
      </c>
      <c r="E6" s="7" t="s">
        <v>45</v>
      </c>
      <c r="F6" s="7" t="s">
        <v>46</v>
      </c>
      <c r="G6" s="8" t="s">
        <v>47</v>
      </c>
      <c r="H6" s="7" t="s">
        <v>78</v>
      </c>
      <c r="I6" s="7" t="s">
        <v>79</v>
      </c>
      <c r="J6" s="7" t="s">
        <v>80</v>
      </c>
      <c r="K6" s="6" t="n">
        <v>2</v>
      </c>
      <c r="L6" s="6" t="n">
        <v>5</v>
      </c>
      <c r="M6" s="6" t="n">
        <v>3</v>
      </c>
      <c r="N6" s="6" t="n">
        <v>3</v>
      </c>
      <c r="O6" s="6" t="n">
        <f aca="false">IF(COUNT(L6:N6)=3,SUM(L6:N6),"")</f>
        <v>11</v>
      </c>
      <c r="P6" s="6" t="str">
        <f aca="false">IF(OR(K6="",O6=""),"",INDEX(Metodo!$C$6:$G$9,MATCH(K6,Metodo!$B$6:$B$9,0),MATCH(O6,Metodo!$C$5:$G$5,1)))</f>
        <v>Richieste</v>
      </c>
      <c r="Q6" s="7" t="s">
        <v>81</v>
      </c>
      <c r="R6" s="7" t="s">
        <v>82</v>
      </c>
      <c r="S6" s="6" t="n">
        <v>2</v>
      </c>
      <c r="T6" s="6" t="n">
        <v>4</v>
      </c>
      <c r="U6" s="6" t="n">
        <v>1</v>
      </c>
      <c r="V6" s="6" t="n">
        <v>1</v>
      </c>
      <c r="W6" s="6" t="n">
        <f aca="false">IF(COUNT(T6:V6)=3,SUM(T6:V6),"")</f>
        <v>6</v>
      </c>
      <c r="X6" s="6" t="str">
        <f aca="false">IF(OR(S6="",W6=""),"",INDEX(Metodo!$C$6:$G$9,MATCH(S6,Metodo!$B$6:$B$9,0),MATCH(W6,Metodo!$C$5:$G$5,1)))</f>
        <v>OK</v>
      </c>
      <c r="Y6" s="7" t="s">
        <v>83</v>
      </c>
      <c r="Z6" s="8"/>
    </row>
    <row r="7" customFormat="false" ht="109.5" hidden="false" customHeight="true" outlineLevel="0" collapsed="false">
      <c r="A7" s="6" t="s">
        <v>84</v>
      </c>
      <c r="B7" s="6" t="s">
        <v>85</v>
      </c>
      <c r="C7" s="7" t="s">
        <v>86</v>
      </c>
      <c r="D7" s="6" t="s">
        <v>44</v>
      </c>
      <c r="E7" s="7" t="s">
        <v>45</v>
      </c>
      <c r="F7" s="7" t="s">
        <v>46</v>
      </c>
      <c r="G7" s="8" t="s">
        <v>47</v>
      </c>
      <c r="H7" s="7" t="s">
        <v>87</v>
      </c>
      <c r="I7" s="7" t="s">
        <v>88</v>
      </c>
      <c r="J7" s="7" t="s">
        <v>89</v>
      </c>
      <c r="K7" s="6" t="n">
        <v>3</v>
      </c>
      <c r="L7" s="6" t="n">
        <v>2</v>
      </c>
      <c r="M7" s="6" t="n">
        <v>4</v>
      </c>
      <c r="N7" s="6" t="n">
        <v>5</v>
      </c>
      <c r="O7" s="6" t="n">
        <f aca="false">IF(COUNT(L7:N7)=3,SUM(L7:N7),"")</f>
        <v>11</v>
      </c>
      <c r="P7" s="6" t="str">
        <f aca="false">IF(OR(K7="",O7=""),"",INDEX(Metodo!$C$6:$G$9,MATCH(K7,Metodo!$B$6:$B$9,0),MATCH(O7,Metodo!$C$5:$G$5,1)))</f>
        <v>Richieste</v>
      </c>
      <c r="Q7" s="7" t="s">
        <v>90</v>
      </c>
      <c r="R7" s="7" t="s">
        <v>91</v>
      </c>
      <c r="S7" s="6" t="n">
        <v>3</v>
      </c>
      <c r="T7" s="6" t="n">
        <v>2</v>
      </c>
      <c r="U7" s="6" t="n">
        <v>1</v>
      </c>
      <c r="V7" s="6" t="n">
        <v>1</v>
      </c>
      <c r="W7" s="6" t="n">
        <f aca="false">IF(COUNT(T7:V7)=3,SUM(T7:V7),"")</f>
        <v>4</v>
      </c>
      <c r="X7" s="6" t="str">
        <f aca="false">IF(OR(S7="",W7=""),"",INDEX(Metodo!$C$6:$G$9,MATCH(S7,Metodo!$B$6:$B$9,0),MATCH(W7,Metodo!$C$5:$G$5,1)))</f>
        <v>OK</v>
      </c>
      <c r="Y7" s="7" t="s">
        <v>92</v>
      </c>
      <c r="Z7" s="8"/>
    </row>
    <row r="8" customFormat="false" ht="109.5" hidden="false" customHeight="true" outlineLevel="0" collapsed="false">
      <c r="A8" s="6" t="s">
        <v>93</v>
      </c>
      <c r="B8" s="6" t="s">
        <v>94</v>
      </c>
      <c r="C8" s="7" t="s">
        <v>95</v>
      </c>
      <c r="D8" s="6" t="s">
        <v>44</v>
      </c>
      <c r="E8" s="7" t="s">
        <v>45</v>
      </c>
      <c r="F8" s="7" t="s">
        <v>46</v>
      </c>
      <c r="G8" s="8" t="s">
        <v>47</v>
      </c>
      <c r="H8" s="7" t="s">
        <v>96</v>
      </c>
      <c r="I8" s="7" t="s">
        <v>97</v>
      </c>
      <c r="J8" s="7" t="s">
        <v>98</v>
      </c>
      <c r="K8" s="6" t="n">
        <v>2</v>
      </c>
      <c r="L8" s="6" t="n">
        <v>5</v>
      </c>
      <c r="M8" s="6" t="n">
        <v>2</v>
      </c>
      <c r="N8" s="6" t="n">
        <v>3</v>
      </c>
      <c r="O8" s="6" t="n">
        <f aca="false">IF(COUNT(L8:N8)=3,SUM(L8:N8),"")</f>
        <v>10</v>
      </c>
      <c r="P8" s="6" t="str">
        <f aca="false">IF(OR(K8="",O8=""),"",INDEX(Metodo!$C$6:$G$9,MATCH(K8,Metodo!$B$6:$B$9,0),MATCH(O8,Metodo!$C$5:$G$5,1)))</f>
        <v>Suggerite</v>
      </c>
      <c r="Q8" s="7" t="s">
        <v>99</v>
      </c>
      <c r="R8" s="7" t="s">
        <v>100</v>
      </c>
      <c r="S8" s="6" t="n">
        <v>2</v>
      </c>
      <c r="T8" s="6" t="n">
        <v>3</v>
      </c>
      <c r="U8" s="6" t="n">
        <v>1</v>
      </c>
      <c r="V8" s="6" t="n">
        <v>1</v>
      </c>
      <c r="W8" s="6" t="n">
        <f aca="false">IF(COUNT(T8:V8)=3,SUM(T8:V8),"")</f>
        <v>5</v>
      </c>
      <c r="X8" s="6" t="str">
        <f aca="false">IF(OR(S8="",W8=""),"",INDEX(Metodo!$C$6:$G$9,MATCH(S8,Metodo!$B$6:$B$9,0),MATCH(W8,Metodo!$C$5:$G$5,1)))</f>
        <v>OK</v>
      </c>
      <c r="Y8" s="7" t="s">
        <v>101</v>
      </c>
      <c r="Z8" s="8"/>
    </row>
    <row r="9" customFormat="false" ht="109.5" hidden="false" customHeight="true" outlineLevel="0" collapsed="false">
      <c r="A9" s="6" t="s">
        <v>102</v>
      </c>
      <c r="B9" s="6" t="s">
        <v>103</v>
      </c>
      <c r="C9" s="7" t="s">
        <v>104</v>
      </c>
      <c r="D9" s="6" t="s">
        <v>44</v>
      </c>
      <c r="E9" s="7" t="s">
        <v>45</v>
      </c>
      <c r="F9" s="7" t="s">
        <v>105</v>
      </c>
      <c r="G9" s="8" t="s">
        <v>47</v>
      </c>
      <c r="H9" s="7" t="s">
        <v>106</v>
      </c>
      <c r="I9" s="7" t="s">
        <v>107</v>
      </c>
      <c r="J9" s="7" t="s">
        <v>108</v>
      </c>
      <c r="K9" s="6" t="n">
        <v>3</v>
      </c>
      <c r="L9" s="6" t="n">
        <v>5</v>
      </c>
      <c r="M9" s="6" t="n">
        <v>3</v>
      </c>
      <c r="N9" s="6" t="n">
        <v>5</v>
      </c>
      <c r="O9" s="6" t="n">
        <f aca="false">IF(COUNT(L9:N9)=3,SUM(L9:N9),"")</f>
        <v>13</v>
      </c>
      <c r="P9" s="6" t="str">
        <f aca="false">IF(OR(K9="",O9=""),"",INDEX(Metodo!$C$6:$G$9,MATCH(K9,Metodo!$B$6:$B$9,0),MATCH(O9,Metodo!$C$5:$G$5,1)))</f>
        <v>Richieste</v>
      </c>
      <c r="Q9" s="7" t="s">
        <v>109</v>
      </c>
      <c r="R9" s="7"/>
      <c r="S9" s="6" t="n">
        <v>3</v>
      </c>
      <c r="T9" s="6" t="n">
        <v>2</v>
      </c>
      <c r="U9" s="6" t="n">
        <v>1</v>
      </c>
      <c r="V9" s="6" t="n">
        <v>1</v>
      </c>
      <c r="W9" s="6" t="n">
        <f aca="false">IF(COUNT(T9:V9)=3,SUM(T9:V9),"")</f>
        <v>4</v>
      </c>
      <c r="X9" s="6" t="str">
        <f aca="false">IF(OR(S9="",W9=""),"",INDEX(Metodo!$C$6:$G$9,MATCH(S9,Metodo!$B$6:$B$9,0),MATCH(W9,Metodo!$C$5:$G$5,1)))</f>
        <v>OK</v>
      </c>
      <c r="Y9" s="7" t="s">
        <v>110</v>
      </c>
      <c r="Z9" s="8"/>
    </row>
    <row r="10" customFormat="false" ht="109.5" hidden="false" customHeight="true" outlineLevel="0" collapsed="false">
      <c r="A10" s="6" t="s">
        <v>111</v>
      </c>
      <c r="B10" s="6" t="s">
        <v>112</v>
      </c>
      <c r="C10" s="7" t="s">
        <v>113</v>
      </c>
      <c r="D10" s="6" t="s">
        <v>44</v>
      </c>
      <c r="E10" s="7" t="s">
        <v>45</v>
      </c>
      <c r="F10" s="7" t="s">
        <v>105</v>
      </c>
      <c r="G10" s="8" t="s">
        <v>47</v>
      </c>
      <c r="H10" s="7" t="s">
        <v>114</v>
      </c>
      <c r="I10" s="7" t="s">
        <v>115</v>
      </c>
      <c r="J10" s="7" t="s">
        <v>116</v>
      </c>
      <c r="K10" s="6" t="n">
        <v>2</v>
      </c>
      <c r="L10" s="6" t="n">
        <v>5</v>
      </c>
      <c r="M10" s="6" t="n">
        <v>2</v>
      </c>
      <c r="N10" s="6" t="n">
        <v>3</v>
      </c>
      <c r="O10" s="6" t="n">
        <f aca="false">IF(COUNT(L10:N10)=3,SUM(L10:N10),"")</f>
        <v>10</v>
      </c>
      <c r="P10" s="6" t="str">
        <f aca="false">IF(OR(K10="",O10=""),"",INDEX(Metodo!$C$6:$G$9,MATCH(K10,Metodo!$B$6:$B$9,0),MATCH(O10,Metodo!$C$5:$G$5,1)))</f>
        <v>Suggerite</v>
      </c>
      <c r="Q10" s="7" t="s">
        <v>117</v>
      </c>
      <c r="R10" s="7" t="s">
        <v>118</v>
      </c>
      <c r="S10" s="6" t="n">
        <v>2</v>
      </c>
      <c r="T10" s="6" t="n">
        <v>5</v>
      </c>
      <c r="U10" s="6" t="n">
        <v>1</v>
      </c>
      <c r="V10" s="6" t="n">
        <v>1</v>
      </c>
      <c r="W10" s="6" t="n">
        <f aca="false">IF(COUNT(T10:V10)=3,SUM(T10:V10),"")</f>
        <v>7</v>
      </c>
      <c r="X10" s="6" t="str">
        <f aca="false">IF(OR(S10="",W10=""),"",INDEX(Metodo!$C$6:$G$9,MATCH(S10,Metodo!$B$6:$B$9,0),MATCH(W10,Metodo!$C$5:$G$5,1)))</f>
        <v>OK</v>
      </c>
      <c r="Y10" s="7" t="s">
        <v>119</v>
      </c>
      <c r="Z10" s="8"/>
    </row>
    <row r="11" customFormat="false" ht="109.5" hidden="false" customHeight="true" outlineLevel="0" collapsed="false">
      <c r="A11" s="6" t="s">
        <v>120</v>
      </c>
      <c r="B11" s="6" t="s">
        <v>121</v>
      </c>
      <c r="C11" s="7" t="s">
        <v>122</v>
      </c>
      <c r="D11" s="6" t="s">
        <v>44</v>
      </c>
      <c r="E11" s="7" t="s">
        <v>45</v>
      </c>
      <c r="F11" s="7" t="s">
        <v>105</v>
      </c>
      <c r="G11" s="8" t="s">
        <v>47</v>
      </c>
      <c r="H11" s="7"/>
      <c r="I11" s="7" t="s">
        <v>61</v>
      </c>
      <c r="J11" s="7"/>
      <c r="K11" s="6"/>
      <c r="L11" s="6"/>
      <c r="M11" s="6"/>
      <c r="N11" s="6"/>
      <c r="O11" s="6" t="str">
        <f aca="false">IF(COUNT(L11:N11)=3,SUM(L11:N11),"")</f>
        <v/>
      </c>
      <c r="P11" s="6" t="str">
        <f aca="false">IF(OR(K11="",O11=""),"",INDEX(Metodo!$C$6:$G$9,MATCH(K11,Metodo!$B$6:$B$9,0),MATCH(O11,Metodo!$C$5:$G$5,1)))</f>
        <v/>
      </c>
      <c r="Q11" s="7" t="s">
        <v>123</v>
      </c>
      <c r="R11" s="7" t="s">
        <v>124</v>
      </c>
      <c r="S11" s="6"/>
      <c r="T11" s="6"/>
      <c r="U11" s="6"/>
      <c r="V11" s="6"/>
      <c r="W11" s="6" t="str">
        <f aca="false">IF(COUNT(T11:V11)=3,SUM(T11:V11),"")</f>
        <v/>
      </c>
      <c r="X11" s="6" t="str">
        <f aca="false">IF(OR(S11="",W11=""),"",INDEX(Metodo!$C$6:$G$9,MATCH(S11,Metodo!$B$6:$B$9,0),MATCH(W11,Metodo!$C$5:$G$5,1)))</f>
        <v/>
      </c>
      <c r="Y11" s="7" t="s">
        <v>125</v>
      </c>
      <c r="Z11" s="8" t="s">
        <v>52</v>
      </c>
    </row>
    <row r="12" customFormat="false" ht="109.5" hidden="false" customHeight="true" outlineLevel="0" collapsed="false">
      <c r="A12" s="6" t="s">
        <v>126</v>
      </c>
      <c r="B12" s="6" t="s">
        <v>121</v>
      </c>
      <c r="C12" s="7" t="s">
        <v>122</v>
      </c>
      <c r="D12" s="6" t="s">
        <v>127</v>
      </c>
      <c r="E12" s="7" t="s">
        <v>128</v>
      </c>
      <c r="F12" s="7" t="s">
        <v>105</v>
      </c>
      <c r="G12" s="8" t="s">
        <v>47</v>
      </c>
      <c r="H12" s="7" t="s">
        <v>129</v>
      </c>
      <c r="I12" s="7" t="s">
        <v>61</v>
      </c>
      <c r="J12" s="7" t="s">
        <v>130</v>
      </c>
      <c r="K12" s="6" t="n">
        <v>3</v>
      </c>
      <c r="L12" s="6" t="n">
        <v>5</v>
      </c>
      <c r="M12" s="6" t="n">
        <v>3</v>
      </c>
      <c r="N12" s="6" t="n">
        <v>3</v>
      </c>
      <c r="O12" s="6" t="n">
        <f aca="false">IF(COUNT(L12:N12)=3,SUM(L12:N12),"")</f>
        <v>11</v>
      </c>
      <c r="P12" s="6" t="str">
        <f aca="false">IF(OR(K12="",O12=""),"",INDEX(Metodo!$C$6:$G$9,MATCH(K12,Metodo!$B$6:$B$9,0),MATCH(O12,Metodo!$C$5:$G$5,1)))</f>
        <v>Richieste</v>
      </c>
      <c r="Q12" s="7" t="s">
        <v>131</v>
      </c>
      <c r="R12" s="7"/>
      <c r="S12" s="6" t="n">
        <v>3</v>
      </c>
      <c r="T12" s="6" t="n">
        <v>2</v>
      </c>
      <c r="U12" s="6" t="n">
        <v>1</v>
      </c>
      <c r="V12" s="6" t="n">
        <v>1</v>
      </c>
      <c r="W12" s="6" t="n">
        <f aca="false">IF(COUNT(T12:V12)=3,SUM(T12:V12),"")</f>
        <v>4</v>
      </c>
      <c r="X12" s="6" t="str">
        <f aca="false">IF(OR(S12="",W12=""),"",INDEX(Metodo!$C$6:$G$9,MATCH(S12,Metodo!$B$6:$B$9,0),MATCH(W12,Metodo!$C$5:$G$5,1)))</f>
        <v>OK</v>
      </c>
      <c r="Y12" s="7" t="s">
        <v>125</v>
      </c>
      <c r="Z12" s="8"/>
    </row>
    <row r="13" customFormat="false" ht="109.5" hidden="false" customHeight="true" outlineLevel="0" collapsed="false">
      <c r="A13" s="6" t="s">
        <v>132</v>
      </c>
      <c r="B13" s="6" t="s">
        <v>121</v>
      </c>
      <c r="C13" s="7" t="s">
        <v>122</v>
      </c>
      <c r="D13" s="6" t="s">
        <v>66</v>
      </c>
      <c r="E13" s="7" t="s">
        <v>67</v>
      </c>
      <c r="F13" s="7" t="s">
        <v>105</v>
      </c>
      <c r="G13" s="8" t="s">
        <v>47</v>
      </c>
      <c r="H13" s="7" t="s">
        <v>133</v>
      </c>
      <c r="I13" s="7" t="s">
        <v>61</v>
      </c>
      <c r="J13" s="7" t="s">
        <v>130</v>
      </c>
      <c r="K13" s="6" t="n">
        <v>3</v>
      </c>
      <c r="L13" s="6" t="n">
        <v>5</v>
      </c>
      <c r="M13" s="6" t="n">
        <v>3</v>
      </c>
      <c r="N13" s="6" t="n">
        <v>3</v>
      </c>
      <c r="O13" s="6" t="n">
        <f aca="false">IF(COUNT(L13:N13)=3,SUM(L13:N13),"")</f>
        <v>11</v>
      </c>
      <c r="P13" s="6" t="str">
        <f aca="false">IF(OR(K13="",O13=""),"",INDEX(Metodo!$C$6:$G$9,MATCH(K13,Metodo!$B$6:$B$9,0),MATCH(O13,Metodo!$C$5:$G$5,1)))</f>
        <v>Richieste</v>
      </c>
      <c r="Q13" s="7" t="s">
        <v>134</v>
      </c>
      <c r="R13" s="7"/>
      <c r="S13" s="6" t="n">
        <v>3</v>
      </c>
      <c r="T13" s="6" t="n">
        <v>2</v>
      </c>
      <c r="U13" s="6" t="n">
        <v>1</v>
      </c>
      <c r="V13" s="6" t="n">
        <v>1</v>
      </c>
      <c r="W13" s="6" t="n">
        <f aca="false">IF(COUNT(T13:V13)=3,SUM(T13:V13),"")</f>
        <v>4</v>
      </c>
      <c r="X13" s="6" t="str">
        <f aca="false">IF(OR(S13="",W13=""),"",INDEX(Metodo!$C$6:$G$9,MATCH(S13,Metodo!$B$6:$B$9,0),MATCH(W13,Metodo!$C$5:$G$5,1)))</f>
        <v>OK</v>
      </c>
      <c r="Y13" s="7" t="s">
        <v>125</v>
      </c>
      <c r="Z13" s="8"/>
    </row>
    <row r="14" customFormat="false" ht="109.5" hidden="false" customHeight="true" outlineLevel="0" collapsed="false">
      <c r="A14" s="6" t="s">
        <v>135</v>
      </c>
      <c r="B14" s="6" t="s">
        <v>136</v>
      </c>
      <c r="C14" s="7" t="s">
        <v>137</v>
      </c>
      <c r="D14" s="6" t="s">
        <v>44</v>
      </c>
      <c r="E14" s="7" t="s">
        <v>45</v>
      </c>
      <c r="F14" s="7" t="s">
        <v>105</v>
      </c>
      <c r="G14" s="8" t="s">
        <v>47</v>
      </c>
      <c r="H14" s="7"/>
      <c r="I14" s="7" t="s">
        <v>61</v>
      </c>
      <c r="J14" s="7"/>
      <c r="K14" s="6"/>
      <c r="L14" s="6"/>
      <c r="M14" s="6"/>
      <c r="N14" s="6"/>
      <c r="O14" s="6" t="str">
        <f aca="false">IF(COUNT(L14:N14)=3,SUM(L14:N14),"")</f>
        <v/>
      </c>
      <c r="P14" s="6" t="str">
        <f aca="false">IF(OR(K14="",O14=""),"",INDEX(Metodo!$C$6:$G$9,MATCH(K14,Metodo!$B$6:$B$9,0),MATCH(O14,Metodo!$C$5:$G$5,1)))</f>
        <v/>
      </c>
      <c r="Q14" s="7" t="s">
        <v>138</v>
      </c>
      <c r="R14" s="7"/>
      <c r="S14" s="6"/>
      <c r="T14" s="6"/>
      <c r="U14" s="6"/>
      <c r="V14" s="6"/>
      <c r="W14" s="6" t="str">
        <f aca="false">IF(COUNT(T14:V14)=3,SUM(T14:V14),"")</f>
        <v/>
      </c>
      <c r="X14" s="6" t="str">
        <f aca="false">IF(OR(S14="",W14=""),"",INDEX(Metodo!$C$6:$G$9,MATCH(S14,Metodo!$B$6:$B$9,0),MATCH(W14,Metodo!$C$5:$G$5,1)))</f>
        <v/>
      </c>
      <c r="Y14" s="7" t="s">
        <v>139</v>
      </c>
      <c r="Z14" s="8" t="s">
        <v>52</v>
      </c>
    </row>
    <row r="15" customFormat="false" ht="109.5" hidden="false" customHeight="true" outlineLevel="0" collapsed="false">
      <c r="A15" s="6" t="s">
        <v>140</v>
      </c>
      <c r="B15" s="6" t="s">
        <v>136</v>
      </c>
      <c r="C15" s="7" t="s">
        <v>137</v>
      </c>
      <c r="D15" s="6" t="s">
        <v>127</v>
      </c>
      <c r="E15" s="7" t="s">
        <v>128</v>
      </c>
      <c r="F15" s="7" t="s">
        <v>105</v>
      </c>
      <c r="G15" s="8" t="s">
        <v>47</v>
      </c>
      <c r="H15" s="7" t="s">
        <v>129</v>
      </c>
      <c r="I15" s="7" t="s">
        <v>61</v>
      </c>
      <c r="J15" s="7" t="s">
        <v>141</v>
      </c>
      <c r="K15" s="6" t="n">
        <v>2</v>
      </c>
      <c r="L15" s="6" t="n">
        <v>5</v>
      </c>
      <c r="M15" s="6" t="n">
        <v>3</v>
      </c>
      <c r="N15" s="6" t="n">
        <v>3</v>
      </c>
      <c r="O15" s="6" t="n">
        <f aca="false">IF(COUNT(L15:N15)=3,SUM(L15:N15),"")</f>
        <v>11</v>
      </c>
      <c r="P15" s="6" t="str">
        <f aca="false">IF(OR(K15="",O15=""),"",INDEX(Metodo!$C$6:$G$9,MATCH(K15,Metodo!$B$6:$B$9,0),MATCH(O15,Metodo!$C$5:$G$5,1)))</f>
        <v>Richieste</v>
      </c>
      <c r="Q15" s="7" t="s">
        <v>142</v>
      </c>
      <c r="R15" s="7" t="s">
        <v>143</v>
      </c>
      <c r="S15" s="6" t="n">
        <v>2</v>
      </c>
      <c r="T15" s="6" t="n">
        <v>2</v>
      </c>
      <c r="U15" s="6" t="n">
        <v>1</v>
      </c>
      <c r="V15" s="6" t="n">
        <v>1</v>
      </c>
      <c r="W15" s="6" t="n">
        <f aca="false">IF(COUNT(T15:V15)=3,SUM(T15:V15),"")</f>
        <v>4</v>
      </c>
      <c r="X15" s="6" t="str">
        <f aca="false">IF(OR(S15="",W15=""),"",INDEX(Metodo!$C$6:$G$9,MATCH(S15,Metodo!$B$6:$B$9,0),MATCH(W15,Metodo!$C$5:$G$5,1)))</f>
        <v>OK</v>
      </c>
      <c r="Y15" s="7" t="s">
        <v>139</v>
      </c>
      <c r="Z15" s="8"/>
    </row>
    <row r="16" customFormat="false" ht="109.5" hidden="false" customHeight="true" outlineLevel="0" collapsed="false">
      <c r="A16" s="6" t="s">
        <v>144</v>
      </c>
      <c r="B16" s="6" t="s">
        <v>136</v>
      </c>
      <c r="C16" s="7" t="s">
        <v>137</v>
      </c>
      <c r="D16" s="6" t="s">
        <v>66</v>
      </c>
      <c r="E16" s="7" t="s">
        <v>67</v>
      </c>
      <c r="F16" s="7" t="s">
        <v>105</v>
      </c>
      <c r="G16" s="8" t="s">
        <v>47</v>
      </c>
      <c r="H16" s="7" t="s">
        <v>133</v>
      </c>
      <c r="I16" s="7" t="s">
        <v>61</v>
      </c>
      <c r="J16" s="7" t="s">
        <v>141</v>
      </c>
      <c r="K16" s="6" t="n">
        <v>2</v>
      </c>
      <c r="L16" s="6" t="n">
        <v>5</v>
      </c>
      <c r="M16" s="6" t="n">
        <v>3</v>
      </c>
      <c r="N16" s="6" t="n">
        <v>3</v>
      </c>
      <c r="O16" s="6" t="n">
        <f aca="false">IF(COUNT(L16:N16)=3,SUM(L16:N16),"")</f>
        <v>11</v>
      </c>
      <c r="P16" s="6" t="str">
        <f aca="false">IF(OR(K16="",O16=""),"",INDEX(Metodo!$C$6:$G$9,MATCH(K16,Metodo!$B$6:$B$9,0),MATCH(O16,Metodo!$C$5:$G$5,1)))</f>
        <v>Richieste</v>
      </c>
      <c r="Q16" s="7" t="s">
        <v>145</v>
      </c>
      <c r="R16" s="7" t="s">
        <v>143</v>
      </c>
      <c r="S16" s="6" t="n">
        <v>2</v>
      </c>
      <c r="T16" s="6" t="n">
        <v>2</v>
      </c>
      <c r="U16" s="6" t="n">
        <v>1</v>
      </c>
      <c r="V16" s="6" t="n">
        <v>1</v>
      </c>
      <c r="W16" s="6" t="n">
        <f aca="false">IF(COUNT(T16:V16)=3,SUM(T16:V16),"")</f>
        <v>4</v>
      </c>
      <c r="X16" s="6" t="str">
        <f aca="false">IF(OR(S16="",W16=""),"",INDEX(Metodo!$C$6:$G$9,MATCH(S16,Metodo!$B$6:$B$9,0),MATCH(W16,Metodo!$C$5:$G$5,1)))</f>
        <v>OK</v>
      </c>
      <c r="Y16" s="7" t="s">
        <v>139</v>
      </c>
      <c r="Z16" s="8"/>
    </row>
    <row r="17" customFormat="false" ht="109.5" hidden="false" customHeight="true" outlineLevel="0" collapsed="false">
      <c r="A17" s="6" t="s">
        <v>146</v>
      </c>
      <c r="B17" s="6" t="s">
        <v>147</v>
      </c>
      <c r="C17" s="7" t="s">
        <v>148</v>
      </c>
      <c r="D17" s="6" t="s">
        <v>44</v>
      </c>
      <c r="E17" s="7" t="s">
        <v>45</v>
      </c>
      <c r="F17" s="7" t="s">
        <v>105</v>
      </c>
      <c r="G17" s="8" t="s">
        <v>47</v>
      </c>
      <c r="H17" s="7"/>
      <c r="I17" s="7" t="s">
        <v>149</v>
      </c>
      <c r="J17" s="7"/>
      <c r="K17" s="6"/>
      <c r="L17" s="6"/>
      <c r="M17" s="6"/>
      <c r="N17" s="6"/>
      <c r="O17" s="6" t="str">
        <f aca="false">IF(COUNT(L17:N17)=3,SUM(L17:N17),"")</f>
        <v/>
      </c>
      <c r="P17" s="6" t="str">
        <f aca="false">IF(OR(K17="",O17=""),"",INDEX(Metodo!$C$6:$G$9,MATCH(K17,Metodo!$B$6:$B$9,0),MATCH(O17,Metodo!$C$5:$G$5,1)))</f>
        <v/>
      </c>
      <c r="Q17" s="7" t="s">
        <v>138</v>
      </c>
      <c r="R17" s="7"/>
      <c r="S17" s="6"/>
      <c r="T17" s="6"/>
      <c r="U17" s="6"/>
      <c r="V17" s="6"/>
      <c r="W17" s="6" t="str">
        <f aca="false">IF(COUNT(T17:V17)=3,SUM(T17:V17),"")</f>
        <v/>
      </c>
      <c r="X17" s="6" t="str">
        <f aca="false">IF(OR(S17="",W17=""),"",INDEX(Metodo!$C$6:$G$9,MATCH(S17,Metodo!$B$6:$B$9,0),MATCH(W17,Metodo!$C$5:$G$5,1)))</f>
        <v/>
      </c>
      <c r="Y17" s="7" t="s">
        <v>150</v>
      </c>
      <c r="Z17" s="8" t="s">
        <v>52</v>
      </c>
    </row>
    <row r="18" customFormat="false" ht="109.5" hidden="false" customHeight="true" outlineLevel="0" collapsed="false">
      <c r="A18" s="6" t="s">
        <v>151</v>
      </c>
      <c r="B18" s="6" t="s">
        <v>147</v>
      </c>
      <c r="C18" s="7" t="s">
        <v>148</v>
      </c>
      <c r="D18" s="6" t="s">
        <v>127</v>
      </c>
      <c r="E18" s="7" t="s">
        <v>128</v>
      </c>
      <c r="F18" s="7" t="s">
        <v>105</v>
      </c>
      <c r="G18" s="8" t="s">
        <v>47</v>
      </c>
      <c r="H18" s="7" t="s">
        <v>129</v>
      </c>
      <c r="I18" s="7" t="s">
        <v>152</v>
      </c>
      <c r="J18" s="7" t="s">
        <v>153</v>
      </c>
      <c r="K18" s="6" t="n">
        <v>3</v>
      </c>
      <c r="L18" s="6" t="n">
        <v>4</v>
      </c>
      <c r="M18" s="6" t="n">
        <v>3</v>
      </c>
      <c r="N18" s="6" t="n">
        <v>5</v>
      </c>
      <c r="O18" s="6" t="n">
        <f aca="false">IF(COUNT(L18:N18)=3,SUM(L18:N18),"")</f>
        <v>12</v>
      </c>
      <c r="P18" s="6" t="str">
        <f aca="false">IF(OR(K18="",O18=""),"",INDEX(Metodo!$C$6:$G$9,MATCH(K18,Metodo!$B$6:$B$9,0),MATCH(O18,Metodo!$C$5:$G$5,1)))</f>
        <v>Richieste</v>
      </c>
      <c r="Q18" s="7" t="s">
        <v>154</v>
      </c>
      <c r="R18" s="7" t="s">
        <v>155</v>
      </c>
      <c r="S18" s="6" t="n">
        <v>3</v>
      </c>
      <c r="T18" s="6" t="n">
        <v>2</v>
      </c>
      <c r="U18" s="6" t="n">
        <v>1</v>
      </c>
      <c r="V18" s="6" t="n">
        <v>1</v>
      </c>
      <c r="W18" s="6" t="n">
        <f aca="false">IF(COUNT(T18:V18)=3,SUM(T18:V18),"")</f>
        <v>4</v>
      </c>
      <c r="X18" s="6" t="str">
        <f aca="false">IF(OR(S18="",W18=""),"",INDEX(Metodo!$C$6:$G$9,MATCH(S18,Metodo!$B$6:$B$9,0),MATCH(W18,Metodo!$C$5:$G$5,1)))</f>
        <v>OK</v>
      </c>
      <c r="Y18" s="7" t="s">
        <v>150</v>
      </c>
      <c r="Z18" s="8"/>
    </row>
    <row r="19" customFormat="false" ht="109.5" hidden="false" customHeight="true" outlineLevel="0" collapsed="false">
      <c r="A19" s="6" t="s">
        <v>156</v>
      </c>
      <c r="B19" s="6" t="s">
        <v>147</v>
      </c>
      <c r="C19" s="7" t="s">
        <v>148</v>
      </c>
      <c r="D19" s="6" t="s">
        <v>66</v>
      </c>
      <c r="E19" s="7" t="s">
        <v>67</v>
      </c>
      <c r="F19" s="7" t="s">
        <v>105</v>
      </c>
      <c r="G19" s="8" t="s">
        <v>47</v>
      </c>
      <c r="H19" s="7" t="s">
        <v>133</v>
      </c>
      <c r="I19" s="7" t="s">
        <v>152</v>
      </c>
      <c r="J19" s="7" t="s">
        <v>153</v>
      </c>
      <c r="K19" s="6" t="n">
        <v>3</v>
      </c>
      <c r="L19" s="6" t="n">
        <v>4</v>
      </c>
      <c r="M19" s="6" t="n">
        <v>3</v>
      </c>
      <c r="N19" s="6" t="n">
        <v>5</v>
      </c>
      <c r="O19" s="6" t="n">
        <f aca="false">IF(COUNT(L19:N19)=3,SUM(L19:N19),"")</f>
        <v>12</v>
      </c>
      <c r="P19" s="6" t="str">
        <f aca="false">IF(OR(K19="",O19=""),"",INDEX(Metodo!$C$6:$G$9,MATCH(K19,Metodo!$B$6:$B$9,0),MATCH(O19,Metodo!$C$5:$G$5,1)))</f>
        <v>Richieste</v>
      </c>
      <c r="Q19" s="7" t="s">
        <v>157</v>
      </c>
      <c r="R19" s="7"/>
      <c r="S19" s="6" t="n">
        <v>3</v>
      </c>
      <c r="T19" s="6" t="n">
        <v>2</v>
      </c>
      <c r="U19" s="6" t="n">
        <v>1</v>
      </c>
      <c r="V19" s="6" t="n">
        <v>1</v>
      </c>
      <c r="W19" s="6" t="n">
        <f aca="false">IF(COUNT(T19:V19)=3,SUM(T19:V19),"")</f>
        <v>4</v>
      </c>
      <c r="X19" s="6" t="str">
        <f aca="false">IF(OR(S19="",W19=""),"",INDEX(Metodo!$C$6:$G$9,MATCH(S19,Metodo!$B$6:$B$9,0),MATCH(W19,Metodo!$C$5:$G$5,1)))</f>
        <v>OK</v>
      </c>
      <c r="Y19" s="7" t="s">
        <v>150</v>
      </c>
      <c r="Z19" s="8"/>
    </row>
    <row r="20" customFormat="false" ht="109.5" hidden="false" customHeight="true" outlineLevel="0" collapsed="false">
      <c r="A20" s="6" t="s">
        <v>158</v>
      </c>
      <c r="B20" s="6" t="s">
        <v>159</v>
      </c>
      <c r="C20" s="7" t="s">
        <v>160</v>
      </c>
      <c r="D20" s="6" t="s">
        <v>44</v>
      </c>
      <c r="E20" s="7" t="s">
        <v>45</v>
      </c>
      <c r="F20" s="7" t="s">
        <v>105</v>
      </c>
      <c r="G20" s="8" t="s">
        <v>47</v>
      </c>
      <c r="H20" s="7"/>
      <c r="I20" s="7" t="s">
        <v>161</v>
      </c>
      <c r="J20" s="7"/>
      <c r="K20" s="6"/>
      <c r="L20" s="6"/>
      <c r="M20" s="6"/>
      <c r="N20" s="6"/>
      <c r="O20" s="6" t="str">
        <f aca="false">IF(COUNT(L20:N20)=3,SUM(L20:N20),"")</f>
        <v/>
      </c>
      <c r="P20" s="6" t="str">
        <f aca="false">IF(OR(K20="",O20=""),"",INDEX(Metodo!$C$6:$G$9,MATCH(K20,Metodo!$B$6:$B$9,0),MATCH(O20,Metodo!$C$5:$G$5,1)))</f>
        <v/>
      </c>
      <c r="Q20" s="7" t="s">
        <v>162</v>
      </c>
      <c r="R20" s="7"/>
      <c r="S20" s="6"/>
      <c r="T20" s="6"/>
      <c r="U20" s="6"/>
      <c r="V20" s="6"/>
      <c r="W20" s="6" t="str">
        <f aca="false">IF(COUNT(T20:V20)=3,SUM(T20:V20),"")</f>
        <v/>
      </c>
      <c r="X20" s="6" t="str">
        <f aca="false">IF(OR(S20="",W20=""),"",INDEX(Metodo!$C$6:$G$9,MATCH(S20,Metodo!$B$6:$B$9,0),MATCH(W20,Metodo!$C$5:$G$5,1)))</f>
        <v/>
      </c>
      <c r="Y20" s="7" t="s">
        <v>163</v>
      </c>
      <c r="Z20" s="8" t="s">
        <v>52</v>
      </c>
    </row>
    <row r="21" customFormat="false" ht="109.5" hidden="false" customHeight="true" outlineLevel="0" collapsed="false">
      <c r="A21" s="6" t="s">
        <v>164</v>
      </c>
      <c r="B21" s="6" t="s">
        <v>159</v>
      </c>
      <c r="C21" s="7" t="s">
        <v>160</v>
      </c>
      <c r="D21" s="6" t="s">
        <v>127</v>
      </c>
      <c r="E21" s="7" t="s">
        <v>128</v>
      </c>
      <c r="F21" s="7" t="s">
        <v>105</v>
      </c>
      <c r="G21" s="8" t="s">
        <v>47</v>
      </c>
      <c r="H21" s="7" t="s">
        <v>129</v>
      </c>
      <c r="I21" s="7" t="s">
        <v>165</v>
      </c>
      <c r="J21" s="7" t="s">
        <v>153</v>
      </c>
      <c r="K21" s="6" t="n">
        <v>3</v>
      </c>
      <c r="L21" s="6" t="n">
        <v>5</v>
      </c>
      <c r="M21" s="6" t="n">
        <v>3</v>
      </c>
      <c r="N21" s="6" t="n">
        <v>5</v>
      </c>
      <c r="O21" s="6" t="n">
        <f aca="false">IF(COUNT(L21:N21)=3,SUM(L21:N21),"")</f>
        <v>13</v>
      </c>
      <c r="P21" s="6" t="str">
        <f aca="false">IF(OR(K21="",O21=""),"",INDEX(Metodo!$C$6:$G$9,MATCH(K21,Metodo!$B$6:$B$9,0),MATCH(O21,Metodo!$C$5:$G$5,1)))</f>
        <v>Richieste</v>
      </c>
      <c r="Q21" s="7" t="s">
        <v>166</v>
      </c>
      <c r="R21" s="7" t="s">
        <v>167</v>
      </c>
      <c r="S21" s="6" t="n">
        <v>3</v>
      </c>
      <c r="T21" s="6" t="n">
        <v>4</v>
      </c>
      <c r="U21" s="6" t="n">
        <v>2</v>
      </c>
      <c r="V21" s="6" t="n">
        <v>1</v>
      </c>
      <c r="W21" s="6" t="n">
        <f aca="false">IF(COUNT(T21:V21)=3,SUM(T21:V21),"")</f>
        <v>7</v>
      </c>
      <c r="X21" s="6" t="str">
        <f aca="false">IF(OR(S21="",W21=""),"",INDEX(Metodo!$C$6:$G$9,MATCH(S21,Metodo!$B$6:$B$9,0),MATCH(W21,Metodo!$C$5:$G$5,1)))</f>
        <v>Suggerite</v>
      </c>
      <c r="Y21" s="7" t="s">
        <v>163</v>
      </c>
      <c r="Z21" s="8" t="s">
        <v>168</v>
      </c>
    </row>
    <row r="22" customFormat="false" ht="109.5" hidden="false" customHeight="true" outlineLevel="0" collapsed="false">
      <c r="A22" s="6" t="s">
        <v>169</v>
      </c>
      <c r="B22" s="6" t="s">
        <v>159</v>
      </c>
      <c r="C22" s="7" t="s">
        <v>160</v>
      </c>
      <c r="D22" s="6" t="s">
        <v>66</v>
      </c>
      <c r="E22" s="7" t="s">
        <v>67</v>
      </c>
      <c r="F22" s="7" t="s">
        <v>105</v>
      </c>
      <c r="G22" s="8" t="s">
        <v>47</v>
      </c>
      <c r="H22" s="7" t="s">
        <v>133</v>
      </c>
      <c r="I22" s="7" t="s">
        <v>165</v>
      </c>
      <c r="J22" s="7" t="s">
        <v>153</v>
      </c>
      <c r="K22" s="6" t="n">
        <v>3</v>
      </c>
      <c r="L22" s="6" t="n">
        <v>5</v>
      </c>
      <c r="M22" s="6" t="n">
        <v>3</v>
      </c>
      <c r="N22" s="6" t="n">
        <v>5</v>
      </c>
      <c r="O22" s="6" t="n">
        <f aca="false">IF(COUNT(L22:N22)=3,SUM(L22:N22),"")</f>
        <v>13</v>
      </c>
      <c r="P22" s="6" t="str">
        <f aca="false">IF(OR(K22="",O22=""),"",INDEX(Metodo!$C$6:$G$9,MATCH(K22,Metodo!$B$6:$B$9,0),MATCH(O22,Metodo!$C$5:$G$5,1)))</f>
        <v>Richieste</v>
      </c>
      <c r="Q22" s="7" t="s">
        <v>170</v>
      </c>
      <c r="R22" s="7" t="s">
        <v>171</v>
      </c>
      <c r="S22" s="6" t="n">
        <v>3</v>
      </c>
      <c r="T22" s="6" t="n">
        <v>2</v>
      </c>
      <c r="U22" s="6" t="n">
        <v>1</v>
      </c>
      <c r="V22" s="6" t="n">
        <v>1</v>
      </c>
      <c r="W22" s="6" t="n">
        <f aca="false">IF(COUNT(T22:V22)=3,SUM(T22:V22),"")</f>
        <v>4</v>
      </c>
      <c r="X22" s="6" t="str">
        <f aca="false">IF(OR(S22="",W22=""),"",INDEX(Metodo!$C$6:$G$9,MATCH(S22,Metodo!$B$6:$B$9,0),MATCH(W22,Metodo!$C$5:$G$5,1)))</f>
        <v>OK</v>
      </c>
      <c r="Y22" s="7" t="s">
        <v>163</v>
      </c>
      <c r="Z22" s="8"/>
    </row>
    <row r="23" customFormat="false" ht="109.5" hidden="false" customHeight="true" outlineLevel="0" collapsed="false">
      <c r="A23" s="6" t="s">
        <v>172</v>
      </c>
      <c r="B23" s="6" t="s">
        <v>173</v>
      </c>
      <c r="C23" s="7" t="s">
        <v>174</v>
      </c>
      <c r="D23" s="6" t="s">
        <v>44</v>
      </c>
      <c r="E23" s="7" t="s">
        <v>45</v>
      </c>
      <c r="F23" s="7" t="s">
        <v>105</v>
      </c>
      <c r="G23" s="8" t="s">
        <v>47</v>
      </c>
      <c r="H23" s="7" t="s">
        <v>106</v>
      </c>
      <c r="I23" s="7" t="s">
        <v>61</v>
      </c>
      <c r="J23" s="7" t="s">
        <v>175</v>
      </c>
      <c r="K23" s="6" t="n">
        <v>3</v>
      </c>
      <c r="L23" s="6" t="n">
        <v>3</v>
      </c>
      <c r="M23" s="6" t="n">
        <v>2</v>
      </c>
      <c r="N23" s="6" t="n">
        <v>5</v>
      </c>
      <c r="O23" s="6" t="n">
        <f aca="false">IF(COUNT(L23:N23)=3,SUM(L23:N23),"")</f>
        <v>10</v>
      </c>
      <c r="P23" s="6" t="str">
        <f aca="false">IF(OR(K23="",O23=""),"",INDEX(Metodo!$C$6:$G$9,MATCH(K23,Metodo!$B$6:$B$9,0),MATCH(O23,Metodo!$C$5:$G$5,1)))</f>
        <v>Richieste</v>
      </c>
      <c r="Q23" s="7" t="s">
        <v>176</v>
      </c>
      <c r="R23" s="7" t="s">
        <v>177</v>
      </c>
      <c r="S23" s="6" t="n">
        <v>3</v>
      </c>
      <c r="T23" s="6" t="n">
        <v>2</v>
      </c>
      <c r="U23" s="6" t="n">
        <v>2</v>
      </c>
      <c r="V23" s="6" t="n">
        <v>3</v>
      </c>
      <c r="W23" s="6" t="n">
        <f aca="false">IF(COUNT(T23:V23)=3,SUM(T23:V23),"")</f>
        <v>7</v>
      </c>
      <c r="X23" s="6" t="str">
        <f aca="false">IF(OR(S23="",W23=""),"",INDEX(Metodo!$C$6:$G$9,MATCH(S23,Metodo!$B$6:$B$9,0),MATCH(W23,Metodo!$C$5:$G$5,1)))</f>
        <v>Suggerite</v>
      </c>
      <c r="Y23" s="7" t="s">
        <v>139</v>
      </c>
      <c r="Z23" s="8" t="s">
        <v>168</v>
      </c>
    </row>
    <row r="24" customFormat="false" ht="109.5" hidden="false" customHeight="true" outlineLevel="0" collapsed="false">
      <c r="A24" s="6" t="s">
        <v>178</v>
      </c>
      <c r="B24" s="6" t="s">
        <v>179</v>
      </c>
      <c r="C24" s="7" t="s">
        <v>180</v>
      </c>
      <c r="D24" s="6" t="s">
        <v>44</v>
      </c>
      <c r="E24" s="7" t="s">
        <v>45</v>
      </c>
      <c r="F24" s="7" t="s">
        <v>46</v>
      </c>
      <c r="G24" s="8" t="s">
        <v>47</v>
      </c>
      <c r="H24" s="7" t="s">
        <v>181</v>
      </c>
      <c r="I24" s="7" t="s">
        <v>182</v>
      </c>
      <c r="J24" s="7" t="s">
        <v>183</v>
      </c>
      <c r="K24" s="6" t="n">
        <v>3</v>
      </c>
      <c r="L24" s="6" t="n">
        <v>2</v>
      </c>
      <c r="M24" s="6" t="n">
        <v>4</v>
      </c>
      <c r="N24" s="6" t="n">
        <v>5</v>
      </c>
      <c r="O24" s="6" t="n">
        <f aca="false">IF(COUNT(L24:N24)=3,SUM(L24:N24),"")</f>
        <v>11</v>
      </c>
      <c r="P24" s="6" t="str">
        <f aca="false">IF(OR(K24="",O24=""),"",INDEX(Metodo!$C$6:$G$9,MATCH(K24,Metodo!$B$6:$B$9,0),MATCH(O24,Metodo!$C$5:$G$5,1)))</f>
        <v>Richieste</v>
      </c>
      <c r="Q24" s="7" t="s">
        <v>184</v>
      </c>
      <c r="R24" s="7" t="s">
        <v>185</v>
      </c>
      <c r="S24" s="6" t="n">
        <v>3</v>
      </c>
      <c r="T24" s="6" t="n">
        <v>2</v>
      </c>
      <c r="U24" s="6" t="n">
        <v>1</v>
      </c>
      <c r="V24" s="6" t="n">
        <v>1</v>
      </c>
      <c r="W24" s="6" t="n">
        <f aca="false">IF(COUNT(T24:V24)=3,SUM(T24:V24),"")</f>
        <v>4</v>
      </c>
      <c r="X24" s="6" t="str">
        <f aca="false">IF(OR(S24="",W24=""),"",INDEX(Metodo!$C$6:$G$9,MATCH(S24,Metodo!$B$6:$B$9,0),MATCH(W24,Metodo!$C$5:$G$5,1)))</f>
        <v>OK</v>
      </c>
      <c r="Y24" s="7" t="s">
        <v>51</v>
      </c>
      <c r="Z24" s="8"/>
    </row>
    <row r="25" customFormat="false" ht="109.5" hidden="false" customHeight="true" outlineLevel="0" collapsed="false">
      <c r="A25" s="6" t="s">
        <v>186</v>
      </c>
      <c r="B25" s="6" t="s">
        <v>187</v>
      </c>
      <c r="C25" s="7" t="s">
        <v>188</v>
      </c>
      <c r="D25" s="6" t="s">
        <v>44</v>
      </c>
      <c r="E25" s="7" t="s">
        <v>45</v>
      </c>
      <c r="F25" s="7" t="s">
        <v>46</v>
      </c>
      <c r="G25" s="8" t="s">
        <v>47</v>
      </c>
      <c r="H25" s="7" t="s">
        <v>189</v>
      </c>
      <c r="I25" s="7" t="s">
        <v>61</v>
      </c>
      <c r="J25" s="7" t="s">
        <v>190</v>
      </c>
      <c r="K25" s="6" t="n">
        <v>2</v>
      </c>
      <c r="L25" s="6" t="n">
        <v>5</v>
      </c>
      <c r="M25" s="6" t="n">
        <v>2</v>
      </c>
      <c r="N25" s="6" t="n">
        <v>5</v>
      </c>
      <c r="O25" s="6" t="n">
        <f aca="false">IF(COUNT(L25:N25)=3,SUM(L25:N25),"")</f>
        <v>12</v>
      </c>
      <c r="P25" s="6" t="str">
        <f aca="false">IF(OR(K25="",O25=""),"",INDEX(Metodo!$C$6:$G$9,MATCH(K25,Metodo!$B$6:$B$9,0),MATCH(O25,Metodo!$C$5:$G$5,1)))</f>
        <v>Richieste</v>
      </c>
      <c r="Q25" s="7" t="s">
        <v>191</v>
      </c>
      <c r="R25" s="7"/>
      <c r="S25" s="6" t="n">
        <v>2</v>
      </c>
      <c r="T25" s="6" t="n">
        <v>2</v>
      </c>
      <c r="U25" s="6" t="n">
        <v>1</v>
      </c>
      <c r="V25" s="6" t="n">
        <v>3</v>
      </c>
      <c r="W25" s="6" t="n">
        <f aca="false">IF(COUNT(T25:V25)=3,SUM(T25:V25),"")</f>
        <v>6</v>
      </c>
      <c r="X25" s="6" t="str">
        <f aca="false">IF(OR(S25="",W25=""),"",INDEX(Metodo!$C$6:$G$9,MATCH(S25,Metodo!$B$6:$B$9,0),MATCH(W25,Metodo!$C$5:$G$5,1)))</f>
        <v>OK</v>
      </c>
      <c r="Y25" s="7" t="s">
        <v>192</v>
      </c>
      <c r="Z25" s="8"/>
    </row>
    <row r="26" customFormat="false" ht="109.5" hidden="false" customHeight="true" outlineLevel="0" collapsed="false">
      <c r="A26" s="6" t="s">
        <v>193</v>
      </c>
      <c r="B26" s="6" t="s">
        <v>194</v>
      </c>
      <c r="C26" s="7" t="s">
        <v>195</v>
      </c>
      <c r="D26" s="6" t="s">
        <v>44</v>
      </c>
      <c r="E26" s="7" t="s">
        <v>45</v>
      </c>
      <c r="F26" s="7" t="s">
        <v>196</v>
      </c>
      <c r="G26" s="8" t="s">
        <v>197</v>
      </c>
      <c r="H26" s="7" t="s">
        <v>198</v>
      </c>
      <c r="I26" s="7" t="s">
        <v>61</v>
      </c>
      <c r="J26" s="7" t="s">
        <v>199</v>
      </c>
      <c r="K26" s="6" t="n">
        <v>3</v>
      </c>
      <c r="L26" s="6" t="n">
        <v>3</v>
      </c>
      <c r="M26" s="6" t="n">
        <v>2</v>
      </c>
      <c r="N26" s="6" t="n">
        <v>5</v>
      </c>
      <c r="O26" s="6" t="n">
        <f aca="false">IF(COUNT(L26:N26)=3,SUM(L26:N26),"")</f>
        <v>10</v>
      </c>
      <c r="P26" s="6" t="str">
        <f aca="false">IF(OR(K26="",O26=""),"",INDEX(Metodo!$C$6:$G$9,MATCH(K26,Metodo!$B$6:$B$9,0),MATCH(O26,Metodo!$C$5:$G$5,1)))</f>
        <v>Richieste</v>
      </c>
      <c r="Q26" s="7" t="s">
        <v>200</v>
      </c>
      <c r="R26" s="7" t="s">
        <v>201</v>
      </c>
      <c r="S26" s="6" t="n">
        <v>3</v>
      </c>
      <c r="T26" s="6" t="n">
        <v>2</v>
      </c>
      <c r="U26" s="6" t="n">
        <v>1</v>
      </c>
      <c r="V26" s="6" t="n">
        <v>1</v>
      </c>
      <c r="W26" s="6" t="n">
        <f aca="false">IF(COUNT(T26:V26)=3,SUM(T26:V26),"")</f>
        <v>4</v>
      </c>
      <c r="X26" s="6" t="str">
        <f aca="false">IF(OR(S26="",W26=""),"",INDEX(Metodo!$C$6:$G$9,MATCH(S26,Metodo!$B$6:$B$9,0),MATCH(W26,Metodo!$C$5:$G$5,1)))</f>
        <v>OK</v>
      </c>
      <c r="Y26" s="7" t="s">
        <v>51</v>
      </c>
      <c r="Z26" s="8"/>
    </row>
    <row r="27" customFormat="false" ht="109.5" hidden="false" customHeight="true" outlineLevel="0" collapsed="false">
      <c r="A27" s="6" t="s">
        <v>202</v>
      </c>
      <c r="B27" s="6" t="s">
        <v>194</v>
      </c>
      <c r="C27" s="7" t="s">
        <v>195</v>
      </c>
      <c r="D27" s="6" t="s">
        <v>203</v>
      </c>
      <c r="E27" s="7" t="s">
        <v>45</v>
      </c>
      <c r="F27" s="7" t="s">
        <v>46</v>
      </c>
      <c r="G27" s="8" t="s">
        <v>47</v>
      </c>
      <c r="H27" s="7" t="s">
        <v>204</v>
      </c>
      <c r="I27" s="7" t="s">
        <v>205</v>
      </c>
      <c r="J27" s="7" t="s">
        <v>206</v>
      </c>
      <c r="K27" s="6" t="n">
        <v>3</v>
      </c>
      <c r="L27" s="6" t="n">
        <v>3</v>
      </c>
      <c r="M27" s="6" t="n">
        <v>2</v>
      </c>
      <c r="N27" s="6" t="n">
        <v>5</v>
      </c>
      <c r="O27" s="6" t="n">
        <f aca="false">IF(COUNT(L27:N27)=3,SUM(L27:N27),"")</f>
        <v>10</v>
      </c>
      <c r="P27" s="6" t="str">
        <f aca="false">IF(OR(K27="",O27=""),"",INDEX(Metodo!$C$6:$G$9,MATCH(K27,Metodo!$B$6:$B$9,0),MATCH(O27,Metodo!$C$5:$G$5,1)))</f>
        <v>Richieste</v>
      </c>
      <c r="Q27" s="7" t="s">
        <v>207</v>
      </c>
      <c r="R27" s="7" t="s">
        <v>208</v>
      </c>
      <c r="S27" s="6" t="n">
        <v>3</v>
      </c>
      <c r="T27" s="6" t="n">
        <v>2</v>
      </c>
      <c r="U27" s="6" t="n">
        <v>2</v>
      </c>
      <c r="V27" s="6" t="n">
        <v>3</v>
      </c>
      <c r="W27" s="6" t="n">
        <f aca="false">IF(COUNT(T27:V27)=3,SUM(T27:V27),"")</f>
        <v>7</v>
      </c>
      <c r="X27" s="6" t="str">
        <f aca="false">IF(OR(S27="",W27=""),"",INDEX(Metodo!$C$6:$G$9,MATCH(S27,Metodo!$B$6:$B$9,0),MATCH(W27,Metodo!$C$5:$G$5,1)))</f>
        <v>Suggerite</v>
      </c>
      <c r="Y27" s="7" t="s">
        <v>51</v>
      </c>
      <c r="Z27" s="8" t="s">
        <v>168</v>
      </c>
    </row>
    <row r="28" customFormat="false" ht="109.5" hidden="false" customHeight="true" outlineLevel="0" collapsed="false">
      <c r="A28" s="6" t="s">
        <v>209</v>
      </c>
      <c r="B28" s="6" t="s">
        <v>194</v>
      </c>
      <c r="C28" s="7" t="s">
        <v>195</v>
      </c>
      <c r="D28" s="6" t="s">
        <v>66</v>
      </c>
      <c r="E28" s="7" t="s">
        <v>67</v>
      </c>
      <c r="F28" s="7" t="s">
        <v>68</v>
      </c>
      <c r="G28" s="8" t="s">
        <v>69</v>
      </c>
      <c r="H28" s="7" t="s">
        <v>210</v>
      </c>
      <c r="I28" s="7" t="s">
        <v>211</v>
      </c>
      <c r="J28" s="7" t="s">
        <v>212</v>
      </c>
      <c r="K28" s="6" t="n">
        <v>2</v>
      </c>
      <c r="L28" s="6" t="n">
        <v>4</v>
      </c>
      <c r="M28" s="6" t="n">
        <v>3</v>
      </c>
      <c r="N28" s="6" t="n">
        <v>5</v>
      </c>
      <c r="O28" s="6" t="n">
        <f aca="false">IF(COUNT(L28:N28)=3,SUM(L28:N28),"")</f>
        <v>12</v>
      </c>
      <c r="P28" s="6" t="str">
        <f aca="false">IF(OR(K28="",O28=""),"",INDEX(Metodo!$C$6:$G$9,MATCH(K28,Metodo!$B$6:$B$9,0),MATCH(O28,Metodo!$C$5:$G$5,1)))</f>
        <v>Richieste</v>
      </c>
      <c r="Q28" s="7" t="s">
        <v>213</v>
      </c>
      <c r="R28" s="7" t="s">
        <v>214</v>
      </c>
      <c r="S28" s="6" t="n">
        <v>2</v>
      </c>
      <c r="T28" s="6" t="n">
        <v>4</v>
      </c>
      <c r="U28" s="6" t="n">
        <v>2</v>
      </c>
      <c r="V28" s="6" t="n">
        <v>1</v>
      </c>
      <c r="W28" s="6" t="n">
        <f aca="false">IF(COUNT(T28:V28)=3,SUM(T28:V28),"")</f>
        <v>7</v>
      </c>
      <c r="X28" s="6" t="str">
        <f aca="false">IF(OR(S28="",W28=""),"",INDEX(Metodo!$C$6:$G$9,MATCH(S28,Metodo!$B$6:$B$9,0),MATCH(W28,Metodo!$C$5:$G$5,1)))</f>
        <v>OK</v>
      </c>
      <c r="Y28" s="7" t="s">
        <v>51</v>
      </c>
      <c r="Z28" s="8"/>
    </row>
    <row r="29" customFormat="false" ht="109.5" hidden="false" customHeight="true" outlineLevel="0" collapsed="false">
      <c r="A29" s="6" t="s">
        <v>215</v>
      </c>
      <c r="B29" s="6" t="s">
        <v>194</v>
      </c>
      <c r="C29" s="7" t="s">
        <v>195</v>
      </c>
      <c r="D29" s="6" t="s">
        <v>216</v>
      </c>
      <c r="E29" s="7" t="s">
        <v>67</v>
      </c>
      <c r="F29" s="7" t="s">
        <v>217</v>
      </c>
      <c r="G29" s="8" t="s">
        <v>218</v>
      </c>
      <c r="H29" s="7" t="s">
        <v>219</v>
      </c>
      <c r="I29" s="7" t="s">
        <v>61</v>
      </c>
      <c r="J29" s="7" t="s">
        <v>220</v>
      </c>
      <c r="K29" s="6" t="n">
        <v>3</v>
      </c>
      <c r="L29" s="6" t="n">
        <v>3</v>
      </c>
      <c r="M29" s="6" t="n">
        <v>1</v>
      </c>
      <c r="N29" s="6" t="n">
        <v>5</v>
      </c>
      <c r="O29" s="6" t="n">
        <f aca="false">IF(COUNT(L29:N29)=3,SUM(L29:N29),"")</f>
        <v>9</v>
      </c>
      <c r="P29" s="6" t="str">
        <f aca="false">IF(OR(K29="",O29=""),"",INDEX(Metodo!$C$6:$G$9,MATCH(K29,Metodo!$B$6:$B$9,0),MATCH(O29,Metodo!$C$5:$G$5,1)))</f>
        <v>Richieste</v>
      </c>
      <c r="Q29" s="7" t="s">
        <v>221</v>
      </c>
      <c r="R29" s="7"/>
      <c r="S29" s="6" t="n">
        <v>3</v>
      </c>
      <c r="T29" s="6" t="n">
        <v>2</v>
      </c>
      <c r="U29" s="6" t="n">
        <v>1</v>
      </c>
      <c r="V29" s="6" t="n">
        <v>1</v>
      </c>
      <c r="W29" s="6" t="n">
        <f aca="false">IF(COUNT(T29:V29)=3,SUM(T29:V29),"")</f>
        <v>4</v>
      </c>
      <c r="X29" s="6" t="str">
        <f aca="false">IF(OR(S29="",W29=""),"",INDEX(Metodo!$C$6:$G$9,MATCH(S29,Metodo!$B$6:$B$9,0),MATCH(W29,Metodo!$C$5:$G$5,1)))</f>
        <v>OK</v>
      </c>
      <c r="Y29" s="7" t="s">
        <v>51</v>
      </c>
      <c r="Z29" s="8"/>
    </row>
    <row r="30" customFormat="false" ht="109.5" hidden="false" customHeight="true" outlineLevel="0" collapsed="false">
      <c r="A30" s="6" t="s">
        <v>222</v>
      </c>
      <c r="B30" s="6" t="s">
        <v>223</v>
      </c>
      <c r="C30" s="7" t="s">
        <v>224</v>
      </c>
      <c r="D30" s="6" t="s">
        <v>44</v>
      </c>
      <c r="E30" s="7" t="s">
        <v>45</v>
      </c>
      <c r="F30" s="7" t="s">
        <v>46</v>
      </c>
      <c r="G30" s="8" t="s">
        <v>47</v>
      </c>
      <c r="H30" s="7" t="s">
        <v>225</v>
      </c>
      <c r="I30" s="7" t="s">
        <v>48</v>
      </c>
      <c r="J30" s="7" t="s">
        <v>226</v>
      </c>
      <c r="K30" s="6" t="n">
        <v>1</v>
      </c>
      <c r="L30" s="6" t="n">
        <v>5</v>
      </c>
      <c r="M30" s="6" t="n">
        <v>4</v>
      </c>
      <c r="N30" s="6" t="n">
        <v>3</v>
      </c>
      <c r="O30" s="6" t="n">
        <f aca="false">IF(COUNT(L30:N30)=3,SUM(L30:N30),"")</f>
        <v>12</v>
      </c>
      <c r="P30" s="6" t="str">
        <f aca="false">IF(OR(K30="",O30=""),"",INDEX(Metodo!$C$6:$G$9,MATCH(K30,Metodo!$B$6:$B$9,0),MATCH(O30,Metodo!$C$5:$G$5,1)))</f>
        <v>Suggerite</v>
      </c>
      <c r="Q30" s="7" t="s">
        <v>227</v>
      </c>
      <c r="R30" s="7"/>
      <c r="S30" s="6" t="n">
        <v>1</v>
      </c>
      <c r="T30" s="6" t="n">
        <v>4</v>
      </c>
      <c r="U30" s="6" t="n">
        <v>1</v>
      </c>
      <c r="V30" s="6" t="n">
        <v>1</v>
      </c>
      <c r="W30" s="6" t="n">
        <f aca="false">IF(COUNT(T30:V30)=3,SUM(T30:V30),"")</f>
        <v>6</v>
      </c>
      <c r="X30" s="6" t="str">
        <f aca="false">IF(OR(S30="",W30=""),"",INDEX(Metodo!$C$6:$G$9,MATCH(S30,Metodo!$B$6:$B$9,0),MATCH(W30,Metodo!$C$5:$G$5,1)))</f>
        <v>OK</v>
      </c>
      <c r="Y30" s="7" t="s">
        <v>51</v>
      </c>
      <c r="Z30" s="8"/>
    </row>
    <row r="31" customFormat="false" ht="109.5" hidden="false" customHeight="true" outlineLevel="0" collapsed="false">
      <c r="A31" s="6" t="s">
        <v>228</v>
      </c>
      <c r="B31" s="6" t="s">
        <v>229</v>
      </c>
      <c r="C31" s="7" t="s">
        <v>230</v>
      </c>
      <c r="D31" s="6" t="s">
        <v>44</v>
      </c>
      <c r="E31" s="7" t="s">
        <v>45</v>
      </c>
      <c r="F31" s="7" t="s">
        <v>46</v>
      </c>
      <c r="G31" s="8" t="s">
        <v>47</v>
      </c>
      <c r="H31" s="7"/>
      <c r="I31" s="7" t="s">
        <v>231</v>
      </c>
      <c r="J31" s="7"/>
      <c r="K31" s="6"/>
      <c r="L31" s="6"/>
      <c r="M31" s="6"/>
      <c r="N31" s="6"/>
      <c r="O31" s="6" t="str">
        <f aca="false">IF(COUNT(L31:N31)=3,SUM(L31:N31),"")</f>
        <v/>
      </c>
      <c r="P31" s="6" t="str">
        <f aca="false">IF(OR(K31="",O31=""),"",INDEX(Metodo!$C$6:$G$9,MATCH(K31,Metodo!$B$6:$B$9,0),MATCH(O31,Metodo!$C$5:$G$5,1)))</f>
        <v/>
      </c>
      <c r="Q31" s="7" t="s">
        <v>232</v>
      </c>
      <c r="R31" s="7"/>
      <c r="S31" s="6"/>
      <c r="T31" s="6"/>
      <c r="U31" s="6"/>
      <c r="V31" s="6"/>
      <c r="W31" s="6" t="str">
        <f aca="false">IF(COUNT(T31:V31)=3,SUM(T31:V31),"")</f>
        <v/>
      </c>
      <c r="X31" s="6" t="str">
        <f aca="false">IF(OR(S31="",W31=""),"",INDEX(Metodo!$C$6:$G$9,MATCH(S31,Metodo!$B$6:$B$9,0),MATCH(W31,Metodo!$C$5:$G$5,1)))</f>
        <v/>
      </c>
      <c r="Y31" s="7" t="s">
        <v>233</v>
      </c>
      <c r="Z31" s="8" t="s">
        <v>52</v>
      </c>
    </row>
    <row r="32" customFormat="false" ht="109.5" hidden="false" customHeight="true" outlineLevel="0" collapsed="false">
      <c r="A32" s="6" t="s">
        <v>234</v>
      </c>
      <c r="B32" s="6" t="s">
        <v>229</v>
      </c>
      <c r="C32" s="7" t="s">
        <v>230</v>
      </c>
      <c r="D32" s="6" t="s">
        <v>127</v>
      </c>
      <c r="E32" s="7" t="s">
        <v>128</v>
      </c>
      <c r="F32" s="7" t="s">
        <v>235</v>
      </c>
      <c r="G32" s="8" t="s">
        <v>236</v>
      </c>
      <c r="H32" s="7" t="s">
        <v>237</v>
      </c>
      <c r="I32" s="7" t="s">
        <v>238</v>
      </c>
      <c r="J32" s="7"/>
      <c r="K32" s="6"/>
      <c r="L32" s="6"/>
      <c r="M32" s="6"/>
      <c r="N32" s="6"/>
      <c r="O32" s="6" t="str">
        <f aca="false">IF(COUNT(L32:N32)=3,SUM(L32:N32),"")</f>
        <v/>
      </c>
      <c r="P32" s="6" t="str">
        <f aca="false">IF(OR(K32="",O32=""),"",INDEX(Metodo!$C$6:$G$9,MATCH(K32,Metodo!$B$6:$B$9,0),MATCH(O32,Metodo!$C$5:$G$5,1)))</f>
        <v/>
      </c>
      <c r="Q32" s="7" t="s">
        <v>239</v>
      </c>
      <c r="R32" s="7"/>
      <c r="S32" s="6"/>
      <c r="T32" s="6"/>
      <c r="U32" s="6"/>
      <c r="V32" s="6"/>
      <c r="W32" s="6" t="str">
        <f aca="false">IF(COUNT(T32:V32)=3,SUM(T32:V32),"")</f>
        <v/>
      </c>
      <c r="X32" s="6" t="str">
        <f aca="false">IF(OR(S32="",W32=""),"",INDEX(Metodo!$C$6:$G$9,MATCH(S32,Metodo!$B$6:$B$9,0),MATCH(W32,Metodo!$C$5:$G$5,1)))</f>
        <v/>
      </c>
      <c r="Y32" s="7" t="s">
        <v>233</v>
      </c>
      <c r="Z32" s="8" t="s">
        <v>52</v>
      </c>
    </row>
    <row r="33" customFormat="false" ht="109.5" hidden="false" customHeight="true" outlineLevel="0" collapsed="false">
      <c r="A33" s="6" t="s">
        <v>240</v>
      </c>
      <c r="B33" s="6" t="s">
        <v>229</v>
      </c>
      <c r="C33" s="7" t="s">
        <v>230</v>
      </c>
      <c r="D33" s="6" t="s">
        <v>241</v>
      </c>
      <c r="E33" s="7" t="s">
        <v>128</v>
      </c>
      <c r="F33" s="7" t="s">
        <v>242</v>
      </c>
      <c r="G33" s="8" t="s">
        <v>243</v>
      </c>
      <c r="H33" s="7" t="s">
        <v>244</v>
      </c>
      <c r="I33" s="7" t="s">
        <v>61</v>
      </c>
      <c r="J33" s="7" t="s">
        <v>245</v>
      </c>
      <c r="K33" s="6" t="n">
        <v>2</v>
      </c>
      <c r="L33" s="6" t="n">
        <v>5</v>
      </c>
      <c r="M33" s="6" t="n">
        <v>3</v>
      </c>
      <c r="N33" s="6" t="n">
        <v>3</v>
      </c>
      <c r="O33" s="6" t="n">
        <f aca="false">IF(COUNT(L33:N33)=3,SUM(L33:N33),"")</f>
        <v>11</v>
      </c>
      <c r="P33" s="6" t="str">
        <f aca="false">IF(OR(K33="",O33=""),"",INDEX(Metodo!$C$6:$G$9,MATCH(K33,Metodo!$B$6:$B$9,0),MATCH(O33,Metodo!$C$5:$G$5,1)))</f>
        <v>Richieste</v>
      </c>
      <c r="Q33" s="7" t="s">
        <v>246</v>
      </c>
      <c r="R33" s="7"/>
      <c r="S33" s="6" t="n">
        <v>2</v>
      </c>
      <c r="T33" s="6" t="n">
        <v>4</v>
      </c>
      <c r="U33" s="6" t="n">
        <v>1</v>
      </c>
      <c r="V33" s="6" t="n">
        <v>1</v>
      </c>
      <c r="W33" s="6" t="n">
        <f aca="false">IF(COUNT(T33:V33)=3,SUM(T33:V33),"")</f>
        <v>6</v>
      </c>
      <c r="X33" s="6" t="str">
        <f aca="false">IF(OR(S33="",W33=""),"",INDEX(Metodo!$C$6:$G$9,MATCH(S33,Metodo!$B$6:$B$9,0),MATCH(W33,Metodo!$C$5:$G$5,1)))</f>
        <v>OK</v>
      </c>
      <c r="Y33" s="7" t="s">
        <v>233</v>
      </c>
      <c r="Z33" s="8"/>
    </row>
    <row r="34" customFormat="false" ht="109.5" hidden="false" customHeight="true" outlineLevel="0" collapsed="false">
      <c r="A34" s="6" t="s">
        <v>247</v>
      </c>
      <c r="B34" s="6" t="s">
        <v>229</v>
      </c>
      <c r="C34" s="7" t="s">
        <v>230</v>
      </c>
      <c r="D34" s="6" t="s">
        <v>248</v>
      </c>
      <c r="E34" s="7" t="s">
        <v>128</v>
      </c>
      <c r="F34" s="7" t="s">
        <v>249</v>
      </c>
      <c r="G34" s="8" t="s">
        <v>250</v>
      </c>
      <c r="H34" s="7" t="s">
        <v>251</v>
      </c>
      <c r="I34" s="7" t="s">
        <v>252</v>
      </c>
      <c r="J34" s="7" t="s">
        <v>253</v>
      </c>
      <c r="K34" s="6" t="n">
        <v>3</v>
      </c>
      <c r="L34" s="6" t="n">
        <v>5</v>
      </c>
      <c r="M34" s="6" t="n">
        <v>3</v>
      </c>
      <c r="N34" s="6" t="n">
        <v>5</v>
      </c>
      <c r="O34" s="6" t="n">
        <f aca="false">IF(COUNT(L34:N34)=3,SUM(L34:N34),"")</f>
        <v>13</v>
      </c>
      <c r="P34" s="6" t="str">
        <f aca="false">IF(OR(K34="",O34=""),"",INDEX(Metodo!$C$6:$G$9,MATCH(K34,Metodo!$B$6:$B$9,0),MATCH(O34,Metodo!$C$5:$G$5,1)))</f>
        <v>Richieste</v>
      </c>
      <c r="Q34" s="7" t="s">
        <v>254</v>
      </c>
      <c r="R34" s="7" t="s">
        <v>255</v>
      </c>
      <c r="S34" s="6"/>
      <c r="T34" s="6"/>
      <c r="U34" s="6"/>
      <c r="V34" s="6"/>
      <c r="W34" s="6" t="str">
        <f aca="false">IF(COUNT(T34:V34)=3,SUM(T34:V34),"")</f>
        <v/>
      </c>
      <c r="X34" s="6" t="str">
        <f aca="false">IF(OR(S34="",W34=""),"",INDEX(Metodo!$C$6:$G$9,MATCH(S34,Metodo!$B$6:$B$9,0),MATCH(W34,Metodo!$C$5:$G$5,1)))</f>
        <v/>
      </c>
      <c r="Y34" s="7" t="s">
        <v>233</v>
      </c>
      <c r="Z34" s="8" t="s">
        <v>256</v>
      </c>
    </row>
    <row r="35" customFormat="false" ht="109.5" hidden="false" customHeight="true" outlineLevel="0" collapsed="false">
      <c r="A35" s="6" t="s">
        <v>257</v>
      </c>
      <c r="B35" s="6" t="s">
        <v>229</v>
      </c>
      <c r="C35" s="7" t="s">
        <v>230</v>
      </c>
      <c r="D35" s="6" t="s">
        <v>258</v>
      </c>
      <c r="E35" s="7" t="s">
        <v>128</v>
      </c>
      <c r="F35" s="7" t="s">
        <v>249</v>
      </c>
      <c r="G35" s="8" t="s">
        <v>250</v>
      </c>
      <c r="H35" s="7" t="s">
        <v>251</v>
      </c>
      <c r="I35" s="7" t="s">
        <v>259</v>
      </c>
      <c r="J35" s="7" t="s">
        <v>260</v>
      </c>
      <c r="K35" s="6" t="n">
        <v>3</v>
      </c>
      <c r="L35" s="6" t="n">
        <v>3</v>
      </c>
      <c r="M35" s="6" t="n">
        <v>3</v>
      </c>
      <c r="N35" s="6" t="n">
        <v>5</v>
      </c>
      <c r="O35" s="6" t="n">
        <f aca="false">IF(COUNT(L35:N35)=3,SUM(L35:N35),"")</f>
        <v>11</v>
      </c>
      <c r="P35" s="6" t="str">
        <f aca="false">IF(OR(K35="",O35=""),"",INDEX(Metodo!$C$6:$G$9,MATCH(K35,Metodo!$B$6:$B$9,0),MATCH(O35,Metodo!$C$5:$G$5,1)))</f>
        <v>Richieste</v>
      </c>
      <c r="Q35" s="7" t="s">
        <v>261</v>
      </c>
      <c r="R35" s="7" t="s">
        <v>262</v>
      </c>
      <c r="S35" s="6" t="n">
        <v>3</v>
      </c>
      <c r="T35" s="6" t="n">
        <v>2</v>
      </c>
      <c r="U35" s="6" t="n">
        <v>2</v>
      </c>
      <c r="V35" s="6" t="n">
        <v>1</v>
      </c>
      <c r="W35" s="6" t="n">
        <f aca="false">IF(COUNT(T35:V35)=3,SUM(T35:V35),"")</f>
        <v>5</v>
      </c>
      <c r="X35" s="6" t="str">
        <f aca="false">IF(OR(S35="",W35=""),"",INDEX(Metodo!$C$6:$G$9,MATCH(S35,Metodo!$B$6:$B$9,0),MATCH(W35,Metodo!$C$5:$G$5,1)))</f>
        <v>Suggerite</v>
      </c>
      <c r="Y35" s="7" t="s">
        <v>233</v>
      </c>
      <c r="Z35" s="8" t="s">
        <v>168</v>
      </c>
    </row>
    <row r="36" customFormat="false" ht="109.5" hidden="false" customHeight="true" outlineLevel="0" collapsed="false">
      <c r="A36" s="6" t="s">
        <v>263</v>
      </c>
      <c r="B36" s="6" t="s">
        <v>229</v>
      </c>
      <c r="C36" s="7" t="s">
        <v>230</v>
      </c>
      <c r="D36" s="6" t="s">
        <v>264</v>
      </c>
      <c r="E36" s="7" t="s">
        <v>128</v>
      </c>
      <c r="F36" s="7" t="s">
        <v>265</v>
      </c>
      <c r="G36" s="8" t="s">
        <v>266</v>
      </c>
      <c r="H36" s="7" t="s">
        <v>267</v>
      </c>
      <c r="I36" s="7" t="s">
        <v>61</v>
      </c>
      <c r="J36" s="7"/>
      <c r="K36" s="6" t="n">
        <v>1</v>
      </c>
      <c r="L36" s="6" t="n">
        <v>5</v>
      </c>
      <c r="M36" s="6" t="n">
        <v>1</v>
      </c>
      <c r="N36" s="6" t="n">
        <v>1</v>
      </c>
      <c r="O36" s="6" t="n">
        <f aca="false">IF(COUNT(L36:N36)=3,SUM(L36:N36),"")</f>
        <v>7</v>
      </c>
      <c r="P36" s="6" t="str">
        <f aca="false">IF(OR(K36="",O36=""),"",INDEX(Metodo!$C$6:$G$9,MATCH(K36,Metodo!$B$6:$B$9,0),MATCH(O36,Metodo!$C$5:$G$5,1)))</f>
        <v>OK</v>
      </c>
      <c r="Q36" s="7" t="s">
        <v>268</v>
      </c>
      <c r="R36" s="7"/>
      <c r="S36" s="6"/>
      <c r="T36" s="6"/>
      <c r="U36" s="6"/>
      <c r="V36" s="6"/>
      <c r="W36" s="6" t="str">
        <f aca="false">IF(COUNT(T36:V36)=3,SUM(T36:V36),"")</f>
        <v/>
      </c>
      <c r="X36" s="6" t="str">
        <f aca="false">IF(OR(S36="",W36=""),"",INDEX(Metodo!$C$6:$G$9,MATCH(S36,Metodo!$B$6:$B$9,0),MATCH(W36,Metodo!$C$5:$G$5,1)))</f>
        <v/>
      </c>
      <c r="Y36" s="7" t="s">
        <v>233</v>
      </c>
      <c r="Z36" s="8" t="s">
        <v>256</v>
      </c>
    </row>
    <row r="37" customFormat="false" ht="109.5" hidden="false" customHeight="true" outlineLevel="0" collapsed="false">
      <c r="A37" s="6" t="s">
        <v>269</v>
      </c>
      <c r="B37" s="6" t="s">
        <v>229</v>
      </c>
      <c r="C37" s="7" t="s">
        <v>230</v>
      </c>
      <c r="D37" s="6" t="s">
        <v>66</v>
      </c>
      <c r="E37" s="7" t="s">
        <v>67</v>
      </c>
      <c r="F37" s="7" t="s">
        <v>270</v>
      </c>
      <c r="G37" s="8" t="s">
        <v>271</v>
      </c>
      <c r="H37" s="7" t="s">
        <v>272</v>
      </c>
      <c r="I37" s="7" t="s">
        <v>238</v>
      </c>
      <c r="J37" s="7"/>
      <c r="K37" s="6"/>
      <c r="L37" s="6"/>
      <c r="M37" s="6"/>
      <c r="N37" s="6"/>
      <c r="O37" s="6" t="str">
        <f aca="false">IF(COUNT(L37:N37)=3,SUM(L37:N37),"")</f>
        <v/>
      </c>
      <c r="P37" s="6" t="str">
        <f aca="false">IF(OR(K37="",O37=""),"",INDEX(Metodo!$C$6:$G$9,MATCH(K37,Metodo!$B$6:$B$9,0),MATCH(O37,Metodo!$C$5:$G$5,1)))</f>
        <v/>
      </c>
      <c r="Q37" s="7" t="s">
        <v>273</v>
      </c>
      <c r="R37" s="7"/>
      <c r="S37" s="6"/>
      <c r="T37" s="6"/>
      <c r="U37" s="6"/>
      <c r="V37" s="6"/>
      <c r="W37" s="6" t="str">
        <f aca="false">IF(COUNT(T37:V37)=3,SUM(T37:V37),"")</f>
        <v/>
      </c>
      <c r="X37" s="6" t="str">
        <f aca="false">IF(OR(S37="",W37=""),"",INDEX(Metodo!$C$6:$G$9,MATCH(S37,Metodo!$B$6:$B$9,0),MATCH(W37,Metodo!$C$5:$G$5,1)))</f>
        <v/>
      </c>
      <c r="Y37" s="7" t="s">
        <v>233</v>
      </c>
      <c r="Z37" s="8" t="s">
        <v>52</v>
      </c>
    </row>
    <row r="38" customFormat="false" ht="109.5" hidden="false" customHeight="true" outlineLevel="0" collapsed="false">
      <c r="A38" s="6" t="s">
        <v>274</v>
      </c>
      <c r="B38" s="6" t="s">
        <v>229</v>
      </c>
      <c r="C38" s="7" t="s">
        <v>230</v>
      </c>
      <c r="D38" s="6" t="s">
        <v>275</v>
      </c>
      <c r="E38" s="7" t="s">
        <v>67</v>
      </c>
      <c r="F38" s="7" t="s">
        <v>217</v>
      </c>
      <c r="G38" s="8" t="s">
        <v>218</v>
      </c>
      <c r="H38" s="7" t="s">
        <v>276</v>
      </c>
      <c r="I38" s="7" t="s">
        <v>61</v>
      </c>
      <c r="J38" s="7" t="s">
        <v>277</v>
      </c>
      <c r="K38" s="6" t="n">
        <v>2</v>
      </c>
      <c r="L38" s="6" t="n">
        <v>5</v>
      </c>
      <c r="M38" s="6" t="n">
        <v>4</v>
      </c>
      <c r="N38" s="6" t="n">
        <v>5</v>
      </c>
      <c r="O38" s="6" t="n">
        <f aca="false">IF(COUNT(L38:N38)=3,SUM(L38:N38),"")</f>
        <v>14</v>
      </c>
      <c r="P38" s="6" t="str">
        <f aca="false">IF(OR(K38="",O38=""),"",INDEX(Metodo!$C$6:$G$9,MATCH(K38,Metodo!$B$6:$B$9,0),MATCH(O38,Metodo!$C$5:$G$5,1)))</f>
        <v>Richieste</v>
      </c>
      <c r="Q38" s="7" t="s">
        <v>278</v>
      </c>
      <c r="R38" s="7"/>
      <c r="S38" s="6" t="n">
        <v>2</v>
      </c>
      <c r="T38" s="6" t="n">
        <v>5</v>
      </c>
      <c r="U38" s="6" t="n">
        <v>1</v>
      </c>
      <c r="V38" s="6" t="n">
        <v>1</v>
      </c>
      <c r="W38" s="6" t="n">
        <f aca="false">IF(COUNT(T38:V38)=3,SUM(T38:V38),"")</f>
        <v>7</v>
      </c>
      <c r="X38" s="6" t="str">
        <f aca="false">IF(OR(S38="",W38=""),"",INDEX(Metodo!$C$6:$G$9,MATCH(S38,Metodo!$B$6:$B$9,0),MATCH(W38,Metodo!$C$5:$G$5,1)))</f>
        <v>OK</v>
      </c>
      <c r="Y38" s="7" t="s">
        <v>233</v>
      </c>
      <c r="Z38" s="8"/>
    </row>
    <row r="39" customFormat="false" ht="109.5" hidden="false" customHeight="true" outlineLevel="0" collapsed="false">
      <c r="A39" s="6" t="s">
        <v>279</v>
      </c>
      <c r="B39" s="6" t="s">
        <v>229</v>
      </c>
      <c r="C39" s="7" t="s">
        <v>230</v>
      </c>
      <c r="D39" s="6" t="s">
        <v>280</v>
      </c>
      <c r="E39" s="7" t="s">
        <v>67</v>
      </c>
      <c r="F39" s="7" t="s">
        <v>217</v>
      </c>
      <c r="G39" s="8" t="s">
        <v>218</v>
      </c>
      <c r="H39" s="7" t="s">
        <v>281</v>
      </c>
      <c r="I39" s="7" t="s">
        <v>61</v>
      </c>
      <c r="J39" s="7" t="s">
        <v>282</v>
      </c>
      <c r="K39" s="6" t="n">
        <v>1</v>
      </c>
      <c r="L39" s="6" t="n">
        <v>5</v>
      </c>
      <c r="M39" s="6" t="n">
        <v>3</v>
      </c>
      <c r="N39" s="6" t="n">
        <v>3</v>
      </c>
      <c r="O39" s="6" t="n">
        <f aca="false">IF(COUNT(L39:N39)=3,SUM(L39:N39),"")</f>
        <v>11</v>
      </c>
      <c r="P39" s="6" t="str">
        <f aca="false">IF(OR(K39="",O39=""),"",INDEX(Metodo!$C$6:$G$9,MATCH(K39,Metodo!$B$6:$B$9,0),MATCH(O39,Metodo!$C$5:$G$5,1)))</f>
        <v>Suggerite</v>
      </c>
      <c r="Q39" s="7" t="s">
        <v>283</v>
      </c>
      <c r="R39" s="7"/>
      <c r="S39" s="6" t="n">
        <v>1</v>
      </c>
      <c r="T39" s="6" t="n">
        <v>5</v>
      </c>
      <c r="U39" s="6" t="n">
        <v>1</v>
      </c>
      <c r="V39" s="6" t="n">
        <v>1</v>
      </c>
      <c r="W39" s="6" t="n">
        <f aca="false">IF(COUNT(T39:V39)=3,SUM(T39:V39),"")</f>
        <v>7</v>
      </c>
      <c r="X39" s="6" t="str">
        <f aca="false">IF(OR(S39="",W39=""),"",INDEX(Metodo!$C$6:$G$9,MATCH(S39,Metodo!$B$6:$B$9,0),MATCH(W39,Metodo!$C$5:$G$5,1)))</f>
        <v>OK</v>
      </c>
      <c r="Y39" s="7" t="s">
        <v>233</v>
      </c>
      <c r="Z39" s="8"/>
    </row>
    <row r="40" customFormat="false" ht="109.5" hidden="false" customHeight="true" outlineLevel="0" collapsed="false">
      <c r="A40" s="6" t="s">
        <v>284</v>
      </c>
      <c r="B40" s="6" t="s">
        <v>229</v>
      </c>
      <c r="C40" s="7" t="s">
        <v>230</v>
      </c>
      <c r="D40" s="6" t="s">
        <v>285</v>
      </c>
      <c r="E40" s="7" t="s">
        <v>67</v>
      </c>
      <c r="F40" s="7" t="s">
        <v>286</v>
      </c>
      <c r="G40" s="8" t="s">
        <v>287</v>
      </c>
      <c r="H40" s="7" t="s">
        <v>288</v>
      </c>
      <c r="I40" s="7" t="s">
        <v>252</v>
      </c>
      <c r="J40" s="7" t="s">
        <v>289</v>
      </c>
      <c r="K40" s="6" t="n">
        <v>3</v>
      </c>
      <c r="L40" s="6" t="n">
        <v>5</v>
      </c>
      <c r="M40" s="6" t="n">
        <v>3</v>
      </c>
      <c r="N40" s="6" t="n">
        <v>5</v>
      </c>
      <c r="O40" s="6" t="n">
        <f aca="false">IF(COUNT(L40:N40)=3,SUM(L40:N40),"")</f>
        <v>13</v>
      </c>
      <c r="P40" s="6" t="str">
        <f aca="false">IF(OR(K40="",O40=""),"",INDEX(Metodo!$C$6:$G$9,MATCH(K40,Metodo!$B$6:$B$9,0),MATCH(O40,Metodo!$C$5:$G$5,1)))</f>
        <v>Richieste</v>
      </c>
      <c r="Q40" s="7" t="s">
        <v>290</v>
      </c>
      <c r="R40" s="7" t="s">
        <v>291</v>
      </c>
      <c r="S40" s="6" t="n">
        <v>3</v>
      </c>
      <c r="T40" s="6" t="n">
        <v>2</v>
      </c>
      <c r="U40" s="6" t="n">
        <v>1</v>
      </c>
      <c r="V40" s="6" t="n">
        <v>1</v>
      </c>
      <c r="W40" s="6" t="n">
        <f aca="false">IF(COUNT(T40:V40)=3,SUM(T40:V40),"")</f>
        <v>4</v>
      </c>
      <c r="X40" s="6" t="str">
        <f aca="false">IF(OR(S40="",W40=""),"",INDEX(Metodo!$C$6:$G$9,MATCH(S40,Metodo!$B$6:$B$9,0),MATCH(W40,Metodo!$C$5:$G$5,1)))</f>
        <v>OK</v>
      </c>
      <c r="Y40" s="7" t="s">
        <v>233</v>
      </c>
      <c r="Z40" s="8"/>
    </row>
    <row r="41" customFormat="false" ht="109.5" hidden="false" customHeight="true" outlineLevel="0" collapsed="false">
      <c r="A41" s="6" t="s">
        <v>292</v>
      </c>
      <c r="B41" s="6" t="s">
        <v>229</v>
      </c>
      <c r="C41" s="7" t="s">
        <v>230</v>
      </c>
      <c r="D41" s="6" t="s">
        <v>293</v>
      </c>
      <c r="E41" s="7" t="s">
        <v>67</v>
      </c>
      <c r="F41" s="7" t="s">
        <v>286</v>
      </c>
      <c r="G41" s="8" t="s">
        <v>287</v>
      </c>
      <c r="H41" s="7" t="s">
        <v>272</v>
      </c>
      <c r="I41" s="7" t="s">
        <v>259</v>
      </c>
      <c r="J41" s="7" t="s">
        <v>260</v>
      </c>
      <c r="K41" s="6" t="n">
        <v>3</v>
      </c>
      <c r="L41" s="6" t="n">
        <v>3</v>
      </c>
      <c r="M41" s="6" t="n">
        <v>2</v>
      </c>
      <c r="N41" s="6" t="n">
        <v>5</v>
      </c>
      <c r="O41" s="6" t="n">
        <f aca="false">IF(COUNT(L41:N41)=3,SUM(L41:N41),"")</f>
        <v>10</v>
      </c>
      <c r="P41" s="6" t="str">
        <f aca="false">IF(OR(K41="",O41=""),"",INDEX(Metodo!$C$6:$G$9,MATCH(K41,Metodo!$B$6:$B$9,0),MATCH(O41,Metodo!$C$5:$G$5,1)))</f>
        <v>Richieste</v>
      </c>
      <c r="Q41" s="7" t="s">
        <v>294</v>
      </c>
      <c r="R41" s="7" t="s">
        <v>295</v>
      </c>
      <c r="S41" s="6" t="n">
        <v>3</v>
      </c>
      <c r="T41" s="6" t="n">
        <v>2</v>
      </c>
      <c r="U41" s="6" t="n">
        <v>2</v>
      </c>
      <c r="V41" s="6" t="n">
        <v>1</v>
      </c>
      <c r="W41" s="6" t="n">
        <f aca="false">IF(COUNT(T41:V41)=3,SUM(T41:V41),"")</f>
        <v>5</v>
      </c>
      <c r="X41" s="6" t="str">
        <f aca="false">IF(OR(S41="",W41=""),"",INDEX(Metodo!$C$6:$G$9,MATCH(S41,Metodo!$B$6:$B$9,0),MATCH(W41,Metodo!$C$5:$G$5,1)))</f>
        <v>Suggerite</v>
      </c>
      <c r="Y41" s="7" t="s">
        <v>233</v>
      </c>
      <c r="Z41" s="8" t="s">
        <v>168</v>
      </c>
    </row>
    <row r="42" customFormat="false" ht="109.5" hidden="false" customHeight="true" outlineLevel="0" collapsed="false">
      <c r="A42" s="6" t="s">
        <v>296</v>
      </c>
      <c r="B42" s="6" t="s">
        <v>297</v>
      </c>
      <c r="C42" s="7" t="s">
        <v>298</v>
      </c>
      <c r="D42" s="6" t="s">
        <v>44</v>
      </c>
      <c r="E42" s="7" t="s">
        <v>45</v>
      </c>
      <c r="F42" s="7" t="s">
        <v>46</v>
      </c>
      <c r="G42" s="8" t="s">
        <v>47</v>
      </c>
      <c r="H42" s="7"/>
      <c r="I42" s="7" t="s">
        <v>231</v>
      </c>
      <c r="J42" s="7"/>
      <c r="K42" s="6"/>
      <c r="L42" s="6"/>
      <c r="M42" s="6"/>
      <c r="N42" s="6"/>
      <c r="O42" s="6" t="str">
        <f aca="false">IF(COUNT(L42:N42)=3,SUM(L42:N42),"")</f>
        <v/>
      </c>
      <c r="P42" s="6" t="str">
        <f aca="false">IF(OR(K42="",O42=""),"",INDEX(Metodo!$C$6:$G$9,MATCH(K42,Metodo!$B$6:$B$9,0),MATCH(O42,Metodo!$C$5:$G$5,1)))</f>
        <v/>
      </c>
      <c r="Q42" s="7" t="s">
        <v>299</v>
      </c>
      <c r="R42" s="7"/>
      <c r="S42" s="6"/>
      <c r="T42" s="6"/>
      <c r="U42" s="6"/>
      <c r="V42" s="6"/>
      <c r="W42" s="6" t="str">
        <f aca="false">IF(COUNT(T42:V42)=3,SUM(T42:V42),"")</f>
        <v/>
      </c>
      <c r="X42" s="6" t="str">
        <f aca="false">IF(OR(S42="",W42=""),"",INDEX(Metodo!$C$6:$G$9,MATCH(S42,Metodo!$B$6:$B$9,0),MATCH(W42,Metodo!$C$5:$G$5,1)))</f>
        <v/>
      </c>
      <c r="Y42" s="7" t="s">
        <v>51</v>
      </c>
      <c r="Z42" s="8" t="s">
        <v>52</v>
      </c>
    </row>
    <row r="43" customFormat="false" ht="109.5" hidden="false" customHeight="true" outlineLevel="0" collapsed="false">
      <c r="A43" s="6" t="s">
        <v>300</v>
      </c>
      <c r="B43" s="6" t="s">
        <v>301</v>
      </c>
      <c r="C43" s="7" t="s">
        <v>302</v>
      </c>
      <c r="D43" s="6" t="s">
        <v>44</v>
      </c>
      <c r="E43" s="7" t="s">
        <v>45</v>
      </c>
      <c r="F43" s="7" t="s">
        <v>46</v>
      </c>
      <c r="G43" s="8" t="s">
        <v>47</v>
      </c>
      <c r="H43" s="7"/>
      <c r="I43" s="7" t="s">
        <v>231</v>
      </c>
      <c r="J43" s="7"/>
      <c r="K43" s="6"/>
      <c r="L43" s="6"/>
      <c r="M43" s="6"/>
      <c r="N43" s="6"/>
      <c r="O43" s="6" t="str">
        <f aca="false">IF(COUNT(L43:N43)=3,SUM(L43:N43),"")</f>
        <v/>
      </c>
      <c r="P43" s="6" t="str">
        <f aca="false">IF(OR(K43="",O43=""),"",INDEX(Metodo!$C$6:$G$9,MATCH(K43,Metodo!$B$6:$B$9,0),MATCH(O43,Metodo!$C$5:$G$5,1)))</f>
        <v/>
      </c>
      <c r="Q43" s="7" t="s">
        <v>303</v>
      </c>
      <c r="R43" s="7"/>
      <c r="S43" s="6"/>
      <c r="T43" s="6"/>
      <c r="U43" s="6"/>
      <c r="V43" s="6"/>
      <c r="W43" s="6" t="str">
        <f aca="false">IF(COUNT(T43:V43)=3,SUM(T43:V43),"")</f>
        <v/>
      </c>
      <c r="X43" s="6" t="str">
        <f aca="false">IF(OR(S43="",W43=""),"",INDEX(Metodo!$C$6:$G$9,MATCH(S43,Metodo!$B$6:$B$9,0),MATCH(W43,Metodo!$C$5:$G$5,1)))</f>
        <v/>
      </c>
      <c r="Y43" s="7" t="s">
        <v>51</v>
      </c>
      <c r="Z43" s="8" t="s">
        <v>52</v>
      </c>
    </row>
    <row r="44" customFormat="false" ht="109.5" hidden="false" customHeight="true" outlineLevel="0" collapsed="false">
      <c r="A44" s="6" t="s">
        <v>304</v>
      </c>
      <c r="B44" s="6" t="s">
        <v>305</v>
      </c>
      <c r="C44" s="7" t="s">
        <v>306</v>
      </c>
      <c r="D44" s="6" t="s">
        <v>44</v>
      </c>
      <c r="E44" s="7" t="s">
        <v>45</v>
      </c>
      <c r="F44" s="7" t="s">
        <v>46</v>
      </c>
      <c r="G44" s="8" t="s">
        <v>47</v>
      </c>
      <c r="H44" s="7" t="s">
        <v>307</v>
      </c>
      <c r="I44" s="7" t="s">
        <v>252</v>
      </c>
      <c r="J44" s="7" t="s">
        <v>308</v>
      </c>
      <c r="K44" s="6" t="n">
        <v>2</v>
      </c>
      <c r="L44" s="6" t="n">
        <v>4</v>
      </c>
      <c r="M44" s="6" t="n">
        <v>3</v>
      </c>
      <c r="N44" s="6" t="n">
        <v>5</v>
      </c>
      <c r="O44" s="6" t="n">
        <f aca="false">IF(COUNT(L44:N44)=3,SUM(L44:N44),"")</f>
        <v>12</v>
      </c>
      <c r="P44" s="6" t="str">
        <f aca="false">IF(OR(K44="",O44=""),"",INDEX(Metodo!$C$6:$G$9,MATCH(K44,Metodo!$B$6:$B$9,0),MATCH(O44,Metodo!$C$5:$G$5,1)))</f>
        <v>Richieste</v>
      </c>
      <c r="Q44" s="7" t="s">
        <v>309</v>
      </c>
      <c r="R44" s="7"/>
      <c r="S44" s="6" t="n">
        <v>2</v>
      </c>
      <c r="T44" s="6" t="n">
        <v>2</v>
      </c>
      <c r="U44" s="6" t="n">
        <v>1</v>
      </c>
      <c r="V44" s="6" t="n">
        <v>1</v>
      </c>
      <c r="W44" s="6" t="n">
        <f aca="false">IF(COUNT(T44:V44)=3,SUM(T44:V44),"")</f>
        <v>4</v>
      </c>
      <c r="X44" s="6" t="str">
        <f aca="false">IF(OR(S44="",W44=""),"",INDEX(Metodo!$C$6:$G$9,MATCH(S44,Metodo!$B$6:$B$9,0),MATCH(W44,Metodo!$C$5:$G$5,1)))</f>
        <v>OK</v>
      </c>
      <c r="Y44" s="7" t="s">
        <v>51</v>
      </c>
      <c r="Z44" s="8"/>
    </row>
    <row r="45" customFormat="false" ht="109.5" hidden="false" customHeight="true" outlineLevel="0" collapsed="false">
      <c r="A45" s="6" t="s">
        <v>310</v>
      </c>
      <c r="B45" s="6" t="s">
        <v>311</v>
      </c>
      <c r="C45" s="7" t="s">
        <v>312</v>
      </c>
      <c r="D45" s="6" t="s">
        <v>44</v>
      </c>
      <c r="E45" s="7" t="s">
        <v>45</v>
      </c>
      <c r="F45" s="7" t="s">
        <v>196</v>
      </c>
      <c r="G45" s="8" t="s">
        <v>197</v>
      </c>
      <c r="H45" s="7"/>
      <c r="I45" s="7" t="s">
        <v>231</v>
      </c>
      <c r="J45" s="7"/>
      <c r="K45" s="6"/>
      <c r="L45" s="6"/>
      <c r="M45" s="6"/>
      <c r="N45" s="6"/>
      <c r="O45" s="6" t="str">
        <f aca="false">IF(COUNT(L45:N45)=3,SUM(L45:N45),"")</f>
        <v/>
      </c>
      <c r="P45" s="6" t="str">
        <f aca="false">IF(OR(K45="",O45=""),"",INDEX(Metodo!$C$6:$G$9,MATCH(K45,Metodo!$B$6:$B$9,0),MATCH(O45,Metodo!$C$5:$G$5,1)))</f>
        <v/>
      </c>
      <c r="Q45" s="7" t="s">
        <v>232</v>
      </c>
      <c r="R45" s="7"/>
      <c r="S45" s="6"/>
      <c r="T45" s="6"/>
      <c r="U45" s="6"/>
      <c r="V45" s="6"/>
      <c r="W45" s="6" t="str">
        <f aca="false">IF(COUNT(T45:V45)=3,SUM(T45:V45),"")</f>
        <v/>
      </c>
      <c r="X45" s="6" t="str">
        <f aca="false">IF(OR(S45="",W45=""),"",INDEX(Metodo!$C$6:$G$9,MATCH(S45,Metodo!$B$6:$B$9,0),MATCH(W45,Metodo!$C$5:$G$5,1)))</f>
        <v/>
      </c>
      <c r="Y45" s="7" t="s">
        <v>313</v>
      </c>
      <c r="Z45" s="8" t="s">
        <v>52</v>
      </c>
    </row>
    <row r="46" customFormat="false" ht="109.5" hidden="false" customHeight="true" outlineLevel="0" collapsed="false">
      <c r="A46" s="6" t="s">
        <v>314</v>
      </c>
      <c r="B46" s="6" t="s">
        <v>311</v>
      </c>
      <c r="C46" s="7" t="s">
        <v>312</v>
      </c>
      <c r="D46" s="6" t="s">
        <v>127</v>
      </c>
      <c r="E46" s="7" t="s">
        <v>128</v>
      </c>
      <c r="F46" s="7" t="s">
        <v>196</v>
      </c>
      <c r="G46" s="8" t="s">
        <v>197</v>
      </c>
      <c r="H46" s="7" t="s">
        <v>315</v>
      </c>
      <c r="I46" s="7" t="s">
        <v>61</v>
      </c>
      <c r="J46" s="7" t="s">
        <v>308</v>
      </c>
      <c r="K46" s="6" t="n">
        <v>3</v>
      </c>
      <c r="L46" s="6" t="n">
        <v>4</v>
      </c>
      <c r="M46" s="6" t="n">
        <v>3</v>
      </c>
      <c r="N46" s="6" t="n">
        <v>5</v>
      </c>
      <c r="O46" s="6" t="n">
        <f aca="false">IF(COUNT(L46:N46)=3,SUM(L46:N46),"")</f>
        <v>12</v>
      </c>
      <c r="P46" s="6" t="str">
        <f aca="false">IF(OR(K46="",O46=""),"",INDEX(Metodo!$C$6:$G$9,MATCH(K46,Metodo!$B$6:$B$9,0),MATCH(O46,Metodo!$C$5:$G$5,1)))</f>
        <v>Richieste</v>
      </c>
      <c r="Q46" s="7" t="s">
        <v>316</v>
      </c>
      <c r="R46" s="7"/>
      <c r="S46" s="6"/>
      <c r="T46" s="6"/>
      <c r="U46" s="6"/>
      <c r="V46" s="6"/>
      <c r="W46" s="6" t="str">
        <f aca="false">IF(COUNT(T46:V46)=3,SUM(T46:V46),"")</f>
        <v/>
      </c>
      <c r="X46" s="6" t="str">
        <f aca="false">IF(OR(S46="",W46=""),"",INDEX(Metodo!$C$6:$G$9,MATCH(S46,Metodo!$B$6:$B$9,0),MATCH(W46,Metodo!$C$5:$G$5,1)))</f>
        <v/>
      </c>
      <c r="Y46" s="7" t="s">
        <v>313</v>
      </c>
      <c r="Z46" s="8" t="s">
        <v>256</v>
      </c>
    </row>
    <row r="47" customFormat="false" ht="109.5" hidden="false" customHeight="true" outlineLevel="0" collapsed="false">
      <c r="A47" s="6" t="s">
        <v>317</v>
      </c>
      <c r="B47" s="6" t="s">
        <v>311</v>
      </c>
      <c r="C47" s="7" t="s">
        <v>312</v>
      </c>
      <c r="D47" s="6" t="s">
        <v>241</v>
      </c>
      <c r="E47" s="7" t="s">
        <v>128</v>
      </c>
      <c r="F47" s="7" t="s">
        <v>242</v>
      </c>
      <c r="G47" s="8" t="s">
        <v>243</v>
      </c>
      <c r="H47" s="7" t="s">
        <v>318</v>
      </c>
      <c r="I47" s="7" t="s">
        <v>61</v>
      </c>
      <c r="J47" s="7" t="s">
        <v>319</v>
      </c>
      <c r="K47" s="6" t="n">
        <v>1</v>
      </c>
      <c r="L47" s="6" t="n">
        <v>5</v>
      </c>
      <c r="M47" s="6" t="n">
        <v>2</v>
      </c>
      <c r="N47" s="6" t="n">
        <v>1</v>
      </c>
      <c r="O47" s="6" t="n">
        <f aca="false">IF(COUNT(L47:N47)=3,SUM(L47:N47),"")</f>
        <v>8</v>
      </c>
      <c r="P47" s="6" t="str">
        <f aca="false">IF(OR(K47="",O47=""),"",INDEX(Metodo!$C$6:$G$9,MATCH(K47,Metodo!$B$6:$B$9,0),MATCH(O47,Metodo!$C$5:$G$5,1)))</f>
        <v>OK</v>
      </c>
      <c r="Q47" s="7" t="s">
        <v>320</v>
      </c>
      <c r="R47" s="7"/>
      <c r="S47" s="6"/>
      <c r="T47" s="6"/>
      <c r="U47" s="6"/>
      <c r="V47" s="6"/>
      <c r="W47" s="6" t="str">
        <f aca="false">IF(COUNT(T47:V47)=3,SUM(T47:V47),"")</f>
        <v/>
      </c>
      <c r="X47" s="6" t="str">
        <f aca="false">IF(OR(S47="",W47=""),"",INDEX(Metodo!$C$6:$G$9,MATCH(S47,Metodo!$B$6:$B$9,0),MATCH(W47,Metodo!$C$5:$G$5,1)))</f>
        <v/>
      </c>
      <c r="Y47" s="7" t="s">
        <v>313</v>
      </c>
      <c r="Z47" s="8" t="s">
        <v>256</v>
      </c>
    </row>
    <row r="48" customFormat="false" ht="109.5" hidden="false" customHeight="true" outlineLevel="0" collapsed="false">
      <c r="A48" s="6" t="s">
        <v>321</v>
      </c>
      <c r="B48" s="6" t="s">
        <v>311</v>
      </c>
      <c r="C48" s="7" t="s">
        <v>312</v>
      </c>
      <c r="D48" s="6" t="s">
        <v>66</v>
      </c>
      <c r="E48" s="7" t="s">
        <v>67</v>
      </c>
      <c r="F48" s="7" t="s">
        <v>196</v>
      </c>
      <c r="G48" s="8" t="s">
        <v>197</v>
      </c>
      <c r="H48" s="7" t="s">
        <v>322</v>
      </c>
      <c r="I48" s="7" t="s">
        <v>61</v>
      </c>
      <c r="J48" s="7" t="s">
        <v>308</v>
      </c>
      <c r="K48" s="6" t="n">
        <v>3</v>
      </c>
      <c r="L48" s="6" t="n">
        <v>4</v>
      </c>
      <c r="M48" s="6" t="n">
        <v>3</v>
      </c>
      <c r="N48" s="6" t="n">
        <v>5</v>
      </c>
      <c r="O48" s="6" t="n">
        <f aca="false">IF(COUNT(L48:N48)=3,SUM(L48:N48),"")</f>
        <v>12</v>
      </c>
      <c r="P48" s="6" t="str">
        <f aca="false">IF(OR(K48="",O48=""),"",INDEX(Metodo!$C$6:$G$9,MATCH(K48,Metodo!$B$6:$B$9,0),MATCH(O48,Metodo!$C$5:$G$5,1)))</f>
        <v>Richieste</v>
      </c>
      <c r="Q48" s="7" t="s">
        <v>323</v>
      </c>
      <c r="R48" s="7"/>
      <c r="S48" s="6" t="n">
        <v>3</v>
      </c>
      <c r="T48" s="6" t="n">
        <v>2</v>
      </c>
      <c r="U48" s="6" t="n">
        <v>1</v>
      </c>
      <c r="V48" s="6" t="n">
        <v>1</v>
      </c>
      <c r="W48" s="6" t="n">
        <f aca="false">IF(COUNT(T48:V48)=3,SUM(T48:V48),"")</f>
        <v>4</v>
      </c>
      <c r="X48" s="6" t="str">
        <f aca="false">IF(OR(S48="",W48=""),"",INDEX(Metodo!$C$6:$G$9,MATCH(S48,Metodo!$B$6:$B$9,0),MATCH(W48,Metodo!$C$5:$G$5,1)))</f>
        <v>OK</v>
      </c>
      <c r="Y48" s="7" t="s">
        <v>313</v>
      </c>
      <c r="Z48" s="8"/>
    </row>
    <row r="49" customFormat="false" ht="109.5" hidden="false" customHeight="true" outlineLevel="0" collapsed="false">
      <c r="A49" s="6" t="s">
        <v>324</v>
      </c>
      <c r="B49" s="6" t="s">
        <v>311</v>
      </c>
      <c r="C49" s="7" t="s">
        <v>312</v>
      </c>
      <c r="D49" s="6" t="s">
        <v>275</v>
      </c>
      <c r="E49" s="7" t="s">
        <v>67</v>
      </c>
      <c r="F49" s="7" t="s">
        <v>217</v>
      </c>
      <c r="G49" s="8" t="s">
        <v>218</v>
      </c>
      <c r="H49" s="7" t="s">
        <v>325</v>
      </c>
      <c r="I49" s="7" t="s">
        <v>61</v>
      </c>
      <c r="J49" s="7" t="s">
        <v>282</v>
      </c>
      <c r="K49" s="6" t="n">
        <v>2</v>
      </c>
      <c r="L49" s="6" t="n">
        <v>4</v>
      </c>
      <c r="M49" s="6" t="n">
        <v>3</v>
      </c>
      <c r="N49" s="6" t="n">
        <v>5</v>
      </c>
      <c r="O49" s="6" t="n">
        <f aca="false">IF(COUNT(L49:N49)=3,SUM(L49:N49),"")</f>
        <v>12</v>
      </c>
      <c r="P49" s="6" t="str">
        <f aca="false">IF(OR(K49="",O49=""),"",INDEX(Metodo!$C$6:$G$9,MATCH(K49,Metodo!$B$6:$B$9,0),MATCH(O49,Metodo!$C$5:$G$5,1)))</f>
        <v>Richieste</v>
      </c>
      <c r="Q49" s="7" t="s">
        <v>326</v>
      </c>
      <c r="R49" s="7"/>
      <c r="S49" s="6" t="n">
        <v>2</v>
      </c>
      <c r="T49" s="6" t="n">
        <v>2</v>
      </c>
      <c r="U49" s="6" t="n">
        <v>1</v>
      </c>
      <c r="V49" s="6" t="n">
        <v>1</v>
      </c>
      <c r="W49" s="6" t="n">
        <f aca="false">IF(COUNT(T49:V49)=3,SUM(T49:V49),"")</f>
        <v>4</v>
      </c>
      <c r="X49" s="6" t="str">
        <f aca="false">IF(OR(S49="",W49=""),"",INDEX(Metodo!$C$6:$G$9,MATCH(S49,Metodo!$B$6:$B$9,0),MATCH(W49,Metodo!$C$5:$G$5,1)))</f>
        <v>OK</v>
      </c>
      <c r="Y49" s="7" t="s">
        <v>313</v>
      </c>
      <c r="Z49" s="8"/>
    </row>
    <row r="50" customFormat="false" ht="109.5" hidden="false" customHeight="true" outlineLevel="0" collapsed="false">
      <c r="A50" s="6" t="s">
        <v>327</v>
      </c>
      <c r="B50" s="6" t="s">
        <v>328</v>
      </c>
      <c r="C50" s="7" t="s">
        <v>329</v>
      </c>
      <c r="D50" s="6" t="s">
        <v>44</v>
      </c>
      <c r="E50" s="7" t="s">
        <v>45</v>
      </c>
      <c r="F50" s="7" t="s">
        <v>196</v>
      </c>
      <c r="G50" s="8" t="s">
        <v>197</v>
      </c>
      <c r="H50" s="7"/>
      <c r="I50" s="7" t="s">
        <v>231</v>
      </c>
      <c r="J50" s="7"/>
      <c r="K50" s="6"/>
      <c r="L50" s="6"/>
      <c r="M50" s="6"/>
      <c r="N50" s="6"/>
      <c r="O50" s="6" t="str">
        <f aca="false">IF(COUNT(L50:N50)=3,SUM(L50:N50),"")</f>
        <v/>
      </c>
      <c r="P50" s="6" t="str">
        <f aca="false">IF(OR(K50="",O50=""),"",INDEX(Metodo!$C$6:$G$9,MATCH(K50,Metodo!$B$6:$B$9,0),MATCH(O50,Metodo!$C$5:$G$5,1)))</f>
        <v/>
      </c>
      <c r="Q50" s="7" t="s">
        <v>330</v>
      </c>
      <c r="R50" s="7"/>
      <c r="S50" s="6"/>
      <c r="T50" s="6"/>
      <c r="U50" s="6"/>
      <c r="V50" s="6"/>
      <c r="W50" s="6" t="str">
        <f aca="false">IF(COUNT(T50:V50)=3,SUM(T50:V50),"")</f>
        <v/>
      </c>
      <c r="X50" s="6" t="str">
        <f aca="false">IF(OR(S50="",W50=""),"",INDEX(Metodo!$C$6:$G$9,MATCH(S50,Metodo!$B$6:$B$9,0),MATCH(W50,Metodo!$C$5:$G$5,1)))</f>
        <v/>
      </c>
      <c r="Y50" s="7" t="s">
        <v>331</v>
      </c>
      <c r="Z50" s="8" t="s">
        <v>52</v>
      </c>
    </row>
    <row r="51" customFormat="false" ht="109.5" hidden="false" customHeight="true" outlineLevel="0" collapsed="false">
      <c r="A51" s="6" t="s">
        <v>332</v>
      </c>
      <c r="B51" s="6" t="s">
        <v>333</v>
      </c>
      <c r="C51" s="7" t="s">
        <v>334</v>
      </c>
      <c r="D51" s="6" t="s">
        <v>44</v>
      </c>
      <c r="E51" s="7" t="s">
        <v>45</v>
      </c>
      <c r="F51" s="7" t="s">
        <v>196</v>
      </c>
      <c r="G51" s="8" t="s">
        <v>197</v>
      </c>
      <c r="H51" s="7"/>
      <c r="I51" s="7" t="s">
        <v>231</v>
      </c>
      <c r="J51" s="7"/>
      <c r="K51" s="6"/>
      <c r="L51" s="6"/>
      <c r="M51" s="6"/>
      <c r="N51" s="6"/>
      <c r="O51" s="6" t="str">
        <f aca="false">IF(COUNT(L51:N51)=3,SUM(L51:N51),"")</f>
        <v/>
      </c>
      <c r="P51" s="6" t="str">
        <f aca="false">IF(OR(K51="",O51=""),"",INDEX(Metodo!$C$6:$G$9,MATCH(K51,Metodo!$B$6:$B$9,0),MATCH(O51,Metodo!$C$5:$G$5,1)))</f>
        <v/>
      </c>
      <c r="Q51" s="7" t="s">
        <v>335</v>
      </c>
      <c r="R51" s="7" t="s">
        <v>336</v>
      </c>
      <c r="S51" s="6"/>
      <c r="T51" s="6"/>
      <c r="U51" s="6"/>
      <c r="V51" s="6"/>
      <c r="W51" s="6" t="str">
        <f aca="false">IF(COUNT(T51:V51)=3,SUM(T51:V51),"")</f>
        <v/>
      </c>
      <c r="X51" s="6" t="str">
        <f aca="false">IF(OR(S51="",W51=""),"",INDEX(Metodo!$C$6:$G$9,MATCH(S51,Metodo!$B$6:$B$9,0),MATCH(W51,Metodo!$C$5:$G$5,1)))</f>
        <v/>
      </c>
      <c r="Y51" s="7" t="s">
        <v>337</v>
      </c>
      <c r="Z51" s="8" t="s">
        <v>52</v>
      </c>
    </row>
    <row r="52" customFormat="false" ht="109.5" hidden="false" customHeight="true" outlineLevel="0" collapsed="false">
      <c r="A52" s="6" t="s">
        <v>338</v>
      </c>
      <c r="B52" s="6" t="s">
        <v>333</v>
      </c>
      <c r="C52" s="7" t="s">
        <v>334</v>
      </c>
      <c r="D52" s="6" t="s">
        <v>127</v>
      </c>
      <c r="E52" s="7" t="s">
        <v>128</v>
      </c>
      <c r="F52" s="7" t="s">
        <v>196</v>
      </c>
      <c r="G52" s="8" t="s">
        <v>197</v>
      </c>
      <c r="H52" s="7" t="s">
        <v>237</v>
      </c>
      <c r="I52" s="7" t="s">
        <v>231</v>
      </c>
      <c r="J52" s="7"/>
      <c r="K52" s="6"/>
      <c r="L52" s="6"/>
      <c r="M52" s="6"/>
      <c r="N52" s="6"/>
      <c r="O52" s="6" t="str">
        <f aca="false">IF(COUNT(L52:N52)=3,SUM(L52:N52),"")</f>
        <v/>
      </c>
      <c r="P52" s="6" t="str">
        <f aca="false">IF(OR(K52="",O52=""),"",INDEX(Metodo!$C$6:$G$9,MATCH(K52,Metodo!$B$6:$B$9,0),MATCH(O52,Metodo!$C$5:$G$5,1)))</f>
        <v/>
      </c>
      <c r="Q52" s="7" t="s">
        <v>339</v>
      </c>
      <c r="R52" s="7"/>
      <c r="S52" s="6"/>
      <c r="T52" s="6"/>
      <c r="U52" s="6"/>
      <c r="V52" s="6"/>
      <c r="W52" s="6" t="str">
        <f aca="false">IF(COUNT(T52:V52)=3,SUM(T52:V52),"")</f>
        <v/>
      </c>
      <c r="X52" s="6" t="str">
        <f aca="false">IF(OR(S52="",W52=""),"",INDEX(Metodo!$C$6:$G$9,MATCH(S52,Metodo!$B$6:$B$9,0),MATCH(W52,Metodo!$C$5:$G$5,1)))</f>
        <v/>
      </c>
      <c r="Y52" s="7" t="s">
        <v>337</v>
      </c>
      <c r="Z52" s="8" t="s">
        <v>52</v>
      </c>
    </row>
    <row r="53" customFormat="false" ht="109.5" hidden="false" customHeight="true" outlineLevel="0" collapsed="false">
      <c r="A53" s="6" t="s">
        <v>340</v>
      </c>
      <c r="B53" s="6" t="s">
        <v>333</v>
      </c>
      <c r="C53" s="7" t="s">
        <v>334</v>
      </c>
      <c r="D53" s="6" t="s">
        <v>66</v>
      </c>
      <c r="E53" s="7" t="s">
        <v>67</v>
      </c>
      <c r="F53" s="7" t="s">
        <v>196</v>
      </c>
      <c r="G53" s="8" t="s">
        <v>197</v>
      </c>
      <c r="H53" s="7" t="s">
        <v>272</v>
      </c>
      <c r="I53" s="7" t="s">
        <v>231</v>
      </c>
      <c r="J53" s="7"/>
      <c r="K53" s="6"/>
      <c r="L53" s="6"/>
      <c r="M53" s="6"/>
      <c r="N53" s="6"/>
      <c r="O53" s="6" t="str">
        <f aca="false">IF(COUNT(L53:N53)=3,SUM(L53:N53),"")</f>
        <v/>
      </c>
      <c r="P53" s="6" t="str">
        <f aca="false">IF(OR(K53="",O53=""),"",INDEX(Metodo!$C$6:$G$9,MATCH(K53,Metodo!$B$6:$B$9,0),MATCH(O53,Metodo!$C$5:$G$5,1)))</f>
        <v/>
      </c>
      <c r="Q53" s="7" t="s">
        <v>341</v>
      </c>
      <c r="R53" s="7"/>
      <c r="S53" s="6"/>
      <c r="T53" s="6"/>
      <c r="U53" s="6"/>
      <c r="V53" s="6"/>
      <c r="W53" s="6" t="str">
        <f aca="false">IF(COUNT(T53:V53)=3,SUM(T53:V53),"")</f>
        <v/>
      </c>
      <c r="X53" s="6" t="str">
        <f aca="false">IF(OR(S53="",W53=""),"",INDEX(Metodo!$C$6:$G$9,MATCH(S53,Metodo!$B$6:$B$9,0),MATCH(W53,Metodo!$C$5:$G$5,1)))</f>
        <v/>
      </c>
      <c r="Y53" s="7" t="s">
        <v>337</v>
      </c>
      <c r="Z53" s="8" t="s">
        <v>52</v>
      </c>
    </row>
    <row r="54" customFormat="false" ht="109.5" hidden="false" customHeight="true" outlineLevel="0" collapsed="false">
      <c r="A54" s="6" t="s">
        <v>342</v>
      </c>
      <c r="B54" s="6" t="s">
        <v>343</v>
      </c>
      <c r="C54" s="7" t="s">
        <v>344</v>
      </c>
      <c r="D54" s="6" t="s">
        <v>44</v>
      </c>
      <c r="E54" s="7" t="s">
        <v>45</v>
      </c>
      <c r="F54" s="7" t="s">
        <v>196</v>
      </c>
      <c r="G54" s="8" t="s">
        <v>197</v>
      </c>
      <c r="H54" s="7" t="s">
        <v>345</v>
      </c>
      <c r="I54" s="7" t="s">
        <v>61</v>
      </c>
      <c r="J54" s="7"/>
      <c r="K54" s="6"/>
      <c r="L54" s="6"/>
      <c r="M54" s="6"/>
      <c r="N54" s="6"/>
      <c r="O54" s="6" t="str">
        <f aca="false">IF(COUNT(L54:N54)=3,SUM(L54:N54),"")</f>
        <v/>
      </c>
      <c r="P54" s="6" t="str">
        <f aca="false">IF(OR(K54="",O54=""),"",INDEX(Metodo!$C$6:$G$9,MATCH(K54,Metodo!$B$6:$B$9,0),MATCH(O54,Metodo!$C$5:$G$5,1)))</f>
        <v/>
      </c>
      <c r="Q54" s="7" t="s">
        <v>346</v>
      </c>
      <c r="R54" s="7"/>
      <c r="S54" s="6"/>
      <c r="T54" s="6"/>
      <c r="U54" s="6"/>
      <c r="V54" s="6"/>
      <c r="W54" s="6" t="str">
        <f aca="false">IF(COUNT(T54:V54)=3,SUM(T54:V54),"")</f>
        <v/>
      </c>
      <c r="X54" s="6" t="str">
        <f aca="false">IF(OR(S54="",W54=""),"",INDEX(Metodo!$C$6:$G$9,MATCH(S54,Metodo!$B$6:$B$9,0),MATCH(W54,Metodo!$C$5:$G$5,1)))</f>
        <v/>
      </c>
      <c r="Y54" s="7" t="s">
        <v>347</v>
      </c>
      <c r="Z54" s="8" t="s">
        <v>52</v>
      </c>
    </row>
    <row r="55" customFormat="false" ht="109.5" hidden="false" customHeight="true" outlineLevel="0" collapsed="false">
      <c r="A55" s="6" t="s">
        <v>348</v>
      </c>
      <c r="B55" s="6" t="s">
        <v>349</v>
      </c>
      <c r="C55" s="7" t="s">
        <v>350</v>
      </c>
      <c r="D55" s="6" t="s">
        <v>44</v>
      </c>
      <c r="E55" s="7" t="s">
        <v>45</v>
      </c>
      <c r="F55" s="7" t="s">
        <v>351</v>
      </c>
      <c r="G55" s="8" t="s">
        <v>47</v>
      </c>
      <c r="H55" s="7" t="s">
        <v>351</v>
      </c>
      <c r="I55" s="7" t="s">
        <v>352</v>
      </c>
      <c r="J55" s="7" t="s">
        <v>353</v>
      </c>
      <c r="K55" s="6" t="n">
        <v>4</v>
      </c>
      <c r="L55" s="6" t="n">
        <v>5</v>
      </c>
      <c r="M55" s="6" t="n">
        <v>4</v>
      </c>
      <c r="N55" s="6" t="n">
        <v>3</v>
      </c>
      <c r="O55" s="6" t="n">
        <f aca="false">IF(COUNT(L55:N55)=3,SUM(L55:N55),"")</f>
        <v>12</v>
      </c>
      <c r="P55" s="6" t="str">
        <f aca="false">IF(OR(K55="",O55=""),"",INDEX(Metodo!$C$6:$G$9,MATCH(K55,Metodo!$B$6:$B$9,0),MATCH(O55,Metodo!$C$5:$G$5,1)))</f>
        <v>Richieste</v>
      </c>
      <c r="Q55" s="7" t="s">
        <v>354</v>
      </c>
      <c r="R55" s="7" t="s">
        <v>355</v>
      </c>
      <c r="S55" s="6" t="n">
        <v>4</v>
      </c>
      <c r="T55" s="6" t="n">
        <v>2</v>
      </c>
      <c r="U55" s="6" t="n">
        <v>1</v>
      </c>
      <c r="V55" s="6" t="n">
        <v>1</v>
      </c>
      <c r="W55" s="6" t="n">
        <f aca="false">IF(COUNT(T55:V55)=3,SUM(T55:V55),"")</f>
        <v>4</v>
      </c>
      <c r="X55" s="6" t="str">
        <f aca="false">IF(OR(S55="",W55=""),"",INDEX(Metodo!$C$6:$G$9,MATCH(S55,Metodo!$B$6:$B$9,0),MATCH(W55,Metodo!$C$5:$G$5,1)))</f>
        <v>Suggerite</v>
      </c>
      <c r="Y55" s="7" t="s">
        <v>139</v>
      </c>
      <c r="Z55" s="8" t="s">
        <v>168</v>
      </c>
    </row>
    <row r="56" customFormat="false" ht="109.5" hidden="false" customHeight="true" outlineLevel="0" collapsed="false">
      <c r="A56" s="6" t="s">
        <v>356</v>
      </c>
      <c r="B56" s="6" t="s">
        <v>357</v>
      </c>
      <c r="C56" s="7" t="s">
        <v>358</v>
      </c>
      <c r="D56" s="6" t="s">
        <v>44</v>
      </c>
      <c r="E56" s="7" t="s">
        <v>45</v>
      </c>
      <c r="F56" s="7" t="s">
        <v>46</v>
      </c>
      <c r="G56" s="8" t="s">
        <v>47</v>
      </c>
      <c r="H56" s="7" t="s">
        <v>78</v>
      </c>
      <c r="I56" s="7" t="s">
        <v>71</v>
      </c>
      <c r="J56" s="7" t="s">
        <v>359</v>
      </c>
      <c r="K56" s="6" t="n">
        <v>1</v>
      </c>
      <c r="L56" s="6" t="n">
        <v>5</v>
      </c>
      <c r="M56" s="6" t="n">
        <v>3</v>
      </c>
      <c r="N56" s="6" t="n">
        <v>3</v>
      </c>
      <c r="O56" s="6" t="n">
        <f aca="false">IF(COUNT(L56:N56)=3,SUM(L56:N56),"")</f>
        <v>11</v>
      </c>
      <c r="P56" s="6" t="str">
        <f aca="false">IF(OR(K56="",O56=""),"",INDEX(Metodo!$C$6:$G$9,MATCH(K56,Metodo!$B$6:$B$9,0),MATCH(O56,Metodo!$C$5:$G$5,1)))</f>
        <v>Suggerite</v>
      </c>
      <c r="Q56" s="7" t="s">
        <v>360</v>
      </c>
      <c r="R56" s="7"/>
      <c r="S56" s="6" t="n">
        <v>1</v>
      </c>
      <c r="T56" s="6" t="n">
        <v>2</v>
      </c>
      <c r="U56" s="6" t="n">
        <v>1</v>
      </c>
      <c r="V56" s="6" t="n">
        <v>3</v>
      </c>
      <c r="W56" s="6" t="n">
        <f aca="false">IF(COUNT(T56:V56)=3,SUM(T56:V56),"")</f>
        <v>6</v>
      </c>
      <c r="X56" s="6" t="str">
        <f aca="false">IF(OR(S56="",W56=""),"",INDEX(Metodo!$C$6:$G$9,MATCH(S56,Metodo!$B$6:$B$9,0),MATCH(W56,Metodo!$C$5:$G$5,1)))</f>
        <v>OK</v>
      </c>
      <c r="Y56" s="7" t="s">
        <v>139</v>
      </c>
      <c r="Z56" s="8"/>
    </row>
    <row r="57" customFormat="false" ht="109.5" hidden="false" customHeight="true" outlineLevel="0" collapsed="false">
      <c r="A57" s="6" t="s">
        <v>361</v>
      </c>
      <c r="B57" s="6" t="s">
        <v>362</v>
      </c>
      <c r="C57" s="7" t="s">
        <v>363</v>
      </c>
      <c r="D57" s="6" t="s">
        <v>44</v>
      </c>
      <c r="E57" s="7" t="s">
        <v>45</v>
      </c>
      <c r="F57" s="7" t="s">
        <v>364</v>
      </c>
      <c r="G57" s="8" t="s">
        <v>365</v>
      </c>
      <c r="H57" s="7" t="s">
        <v>364</v>
      </c>
      <c r="I57" s="7" t="s">
        <v>366</v>
      </c>
      <c r="J57" s="7" t="s">
        <v>367</v>
      </c>
      <c r="K57" s="6" t="n">
        <v>2</v>
      </c>
      <c r="L57" s="6" t="n">
        <v>5</v>
      </c>
      <c r="M57" s="6" t="n">
        <v>3</v>
      </c>
      <c r="N57" s="6" t="n">
        <v>5</v>
      </c>
      <c r="O57" s="6" t="n">
        <f aca="false">IF(COUNT(L57:N57)=3,SUM(L57:N57),"")</f>
        <v>13</v>
      </c>
      <c r="P57" s="6" t="str">
        <f aca="false">IF(OR(K57="",O57=""),"",INDEX(Metodo!$C$6:$G$9,MATCH(K57,Metodo!$B$6:$B$9,0),MATCH(O57,Metodo!$C$5:$G$5,1)))</f>
        <v>Richieste</v>
      </c>
      <c r="Q57" s="7" t="s">
        <v>368</v>
      </c>
      <c r="R57" s="7" t="s">
        <v>369</v>
      </c>
      <c r="S57" s="6" t="n">
        <v>2</v>
      </c>
      <c r="T57" s="6" t="n">
        <v>2</v>
      </c>
      <c r="U57" s="6" t="n">
        <v>1</v>
      </c>
      <c r="V57" s="6" t="n">
        <v>3</v>
      </c>
      <c r="W57" s="6" t="n">
        <f aca="false">IF(COUNT(T57:V57)=3,SUM(T57:V57),"")</f>
        <v>6</v>
      </c>
      <c r="X57" s="6" t="str">
        <f aca="false">IF(OR(S57="",W57=""),"",INDEX(Metodo!$C$6:$G$9,MATCH(S57,Metodo!$B$6:$B$9,0),MATCH(W57,Metodo!$C$5:$G$5,1)))</f>
        <v>OK</v>
      </c>
      <c r="Y57" s="7" t="s">
        <v>192</v>
      </c>
      <c r="Z57" s="8"/>
    </row>
    <row r="58" customFormat="false" ht="109.5" hidden="false" customHeight="true" outlineLevel="0" collapsed="false">
      <c r="A58" s="6" t="s">
        <v>370</v>
      </c>
      <c r="B58" s="6" t="s">
        <v>371</v>
      </c>
      <c r="C58" s="7" t="s">
        <v>372</v>
      </c>
      <c r="D58" s="6" t="s">
        <v>44</v>
      </c>
      <c r="E58" s="7" t="s">
        <v>45</v>
      </c>
      <c r="F58" s="7" t="s">
        <v>46</v>
      </c>
      <c r="G58" s="8" t="s">
        <v>47</v>
      </c>
      <c r="H58" s="7" t="s">
        <v>189</v>
      </c>
      <c r="I58" s="7" t="s">
        <v>373</v>
      </c>
      <c r="J58" s="7" t="s">
        <v>374</v>
      </c>
      <c r="K58" s="6" t="n">
        <v>2</v>
      </c>
      <c r="L58" s="6" t="n">
        <v>4</v>
      </c>
      <c r="M58" s="6" t="n">
        <v>2</v>
      </c>
      <c r="N58" s="6" t="n">
        <v>3</v>
      </c>
      <c r="O58" s="6" t="n">
        <f aca="false">IF(COUNT(L58:N58)=3,SUM(L58:N58),"")</f>
        <v>9</v>
      </c>
      <c r="P58" s="6" t="str">
        <f aca="false">IF(OR(K58="",O58=""),"",INDEX(Metodo!$C$6:$G$9,MATCH(K58,Metodo!$B$6:$B$9,0),MATCH(O58,Metodo!$C$5:$G$5,1)))</f>
        <v>Suggerite</v>
      </c>
      <c r="Q58" s="7" t="s">
        <v>375</v>
      </c>
      <c r="R58" s="7" t="s">
        <v>201</v>
      </c>
      <c r="S58" s="6" t="n">
        <v>2</v>
      </c>
      <c r="T58" s="6" t="n">
        <v>2</v>
      </c>
      <c r="U58" s="6" t="n">
        <v>1</v>
      </c>
      <c r="V58" s="6" t="n">
        <v>3</v>
      </c>
      <c r="W58" s="6" t="n">
        <f aca="false">IF(COUNT(T58:V58)=3,SUM(T58:V58),"")</f>
        <v>6</v>
      </c>
      <c r="X58" s="6" t="str">
        <f aca="false">IF(OR(S58="",W58=""),"",INDEX(Metodo!$C$6:$G$9,MATCH(S58,Metodo!$B$6:$B$9,0),MATCH(W58,Metodo!$C$5:$G$5,1)))</f>
        <v>OK</v>
      </c>
      <c r="Y58" s="7" t="s">
        <v>51</v>
      </c>
      <c r="Z58" s="8"/>
    </row>
    <row r="59" customFormat="false" ht="109.5" hidden="false" customHeight="true" outlineLevel="0" collapsed="false">
      <c r="A59" s="6" t="s">
        <v>376</v>
      </c>
      <c r="B59" s="6" t="s">
        <v>377</v>
      </c>
      <c r="C59" s="7" t="s">
        <v>378</v>
      </c>
      <c r="D59" s="6" t="s">
        <v>44</v>
      </c>
      <c r="E59" s="7" t="s">
        <v>45</v>
      </c>
      <c r="F59" s="7" t="s">
        <v>46</v>
      </c>
      <c r="G59" s="8" t="s">
        <v>47</v>
      </c>
      <c r="H59" s="7" t="s">
        <v>379</v>
      </c>
      <c r="I59" s="7" t="s">
        <v>380</v>
      </c>
      <c r="J59" s="7" t="s">
        <v>381</v>
      </c>
      <c r="K59" s="6" t="n">
        <v>2</v>
      </c>
      <c r="L59" s="6" t="n">
        <v>3</v>
      </c>
      <c r="M59" s="6" t="n">
        <v>3</v>
      </c>
      <c r="N59" s="6" t="n">
        <v>5</v>
      </c>
      <c r="O59" s="6" t="n">
        <f aca="false">IF(COUNT(L59:N59)=3,SUM(L59:N59),"")</f>
        <v>11</v>
      </c>
      <c r="P59" s="6" t="str">
        <f aca="false">IF(OR(K59="",O59=""),"",INDEX(Metodo!$C$6:$G$9,MATCH(K59,Metodo!$B$6:$B$9,0),MATCH(O59,Metodo!$C$5:$G$5,1)))</f>
        <v>Richieste</v>
      </c>
      <c r="Q59" s="7" t="s">
        <v>382</v>
      </c>
      <c r="R59" s="7" t="s">
        <v>383</v>
      </c>
      <c r="S59" s="6" t="n">
        <v>2</v>
      </c>
      <c r="T59" s="6" t="n">
        <v>2</v>
      </c>
      <c r="U59" s="6" t="n">
        <v>1</v>
      </c>
      <c r="V59" s="6" t="n">
        <v>1</v>
      </c>
      <c r="W59" s="6" t="n">
        <f aca="false">IF(COUNT(T59:V59)=3,SUM(T59:V59),"")</f>
        <v>4</v>
      </c>
      <c r="X59" s="6" t="str">
        <f aca="false">IF(OR(S59="",W59=""),"",INDEX(Metodo!$C$6:$G$9,MATCH(S59,Metodo!$B$6:$B$9,0),MATCH(W59,Metodo!$C$5:$G$5,1)))</f>
        <v>OK</v>
      </c>
      <c r="Y59" s="7" t="s">
        <v>384</v>
      </c>
      <c r="Z59" s="8"/>
    </row>
    <row r="60" customFormat="false" ht="109.5" hidden="false" customHeight="true" outlineLevel="0" collapsed="false">
      <c r="A60" s="6" t="s">
        <v>385</v>
      </c>
      <c r="B60" s="6" t="s">
        <v>377</v>
      </c>
      <c r="C60" s="7" t="s">
        <v>378</v>
      </c>
      <c r="D60" s="6" t="s">
        <v>203</v>
      </c>
      <c r="E60" s="7" t="s">
        <v>45</v>
      </c>
      <c r="F60" s="7" t="s">
        <v>46</v>
      </c>
      <c r="G60" s="8" t="s">
        <v>47</v>
      </c>
      <c r="H60" s="7" t="s">
        <v>386</v>
      </c>
      <c r="I60" s="7" t="s">
        <v>61</v>
      </c>
      <c r="J60" s="7" t="s">
        <v>381</v>
      </c>
      <c r="K60" s="6" t="n">
        <v>1</v>
      </c>
      <c r="L60" s="6" t="n">
        <v>5</v>
      </c>
      <c r="M60" s="6" t="n">
        <v>3</v>
      </c>
      <c r="N60" s="6" t="n">
        <v>3</v>
      </c>
      <c r="O60" s="6" t="n">
        <f aca="false">IF(COUNT(L60:N60)=3,SUM(L60:N60),"")</f>
        <v>11</v>
      </c>
      <c r="P60" s="6" t="str">
        <f aca="false">IF(OR(K60="",O60=""),"",INDEX(Metodo!$C$6:$G$9,MATCH(K60,Metodo!$B$6:$B$9,0),MATCH(O60,Metodo!$C$5:$G$5,1)))</f>
        <v>Suggerite</v>
      </c>
      <c r="Q60" s="7" t="s">
        <v>387</v>
      </c>
      <c r="R60" s="7" t="s">
        <v>388</v>
      </c>
      <c r="S60" s="6" t="n">
        <v>1</v>
      </c>
      <c r="T60" s="6" t="n">
        <v>5</v>
      </c>
      <c r="U60" s="6" t="n">
        <v>1</v>
      </c>
      <c r="V60" s="6" t="n">
        <v>1</v>
      </c>
      <c r="W60" s="6" t="n">
        <f aca="false">IF(COUNT(T60:V60)=3,SUM(T60:V60),"")</f>
        <v>7</v>
      </c>
      <c r="X60" s="6" t="str">
        <f aca="false">IF(OR(S60="",W60=""),"",INDEX(Metodo!$C$6:$G$9,MATCH(S60,Metodo!$B$6:$B$9,0),MATCH(W60,Metodo!$C$5:$G$5,1)))</f>
        <v>OK</v>
      </c>
      <c r="Y60" s="7" t="s">
        <v>384</v>
      </c>
      <c r="Z60" s="8"/>
    </row>
    <row r="61" customFormat="false" ht="109.5" hidden="false" customHeight="true" outlineLevel="0" collapsed="false">
      <c r="A61" s="6" t="s">
        <v>389</v>
      </c>
      <c r="B61" s="6" t="s">
        <v>390</v>
      </c>
      <c r="C61" s="7" t="s">
        <v>391</v>
      </c>
      <c r="D61" s="6" t="s">
        <v>44</v>
      </c>
      <c r="E61" s="7" t="s">
        <v>45</v>
      </c>
      <c r="F61" s="7" t="s">
        <v>351</v>
      </c>
      <c r="G61" s="8" t="s">
        <v>47</v>
      </c>
      <c r="H61" s="7" t="s">
        <v>392</v>
      </c>
      <c r="I61" s="7" t="s">
        <v>61</v>
      </c>
      <c r="J61" s="7" t="s">
        <v>393</v>
      </c>
      <c r="K61" s="6" t="n">
        <v>2</v>
      </c>
      <c r="L61" s="6" t="n">
        <v>3</v>
      </c>
      <c r="M61" s="6" t="n">
        <v>3</v>
      </c>
      <c r="N61" s="6" t="n">
        <v>5</v>
      </c>
      <c r="O61" s="6" t="n">
        <f aca="false">IF(COUNT(L61:N61)=3,SUM(L61:N61),"")</f>
        <v>11</v>
      </c>
      <c r="P61" s="6" t="str">
        <f aca="false">IF(OR(K61="",O61=""),"",INDEX(Metodo!$C$6:$G$9,MATCH(K61,Metodo!$B$6:$B$9,0),MATCH(O61,Metodo!$C$5:$G$5,1)))</f>
        <v>Richieste</v>
      </c>
      <c r="Q61" s="7" t="s">
        <v>394</v>
      </c>
      <c r="R61" s="7" t="s">
        <v>395</v>
      </c>
      <c r="S61" s="6" t="n">
        <v>2</v>
      </c>
      <c r="T61" s="6" t="n">
        <v>2</v>
      </c>
      <c r="U61" s="6" t="n">
        <v>1</v>
      </c>
      <c r="V61" s="6" t="n">
        <v>1</v>
      </c>
      <c r="W61" s="6" t="n">
        <f aca="false">IF(COUNT(T61:V61)=3,SUM(T61:V61),"")</f>
        <v>4</v>
      </c>
      <c r="X61" s="6" t="str">
        <f aca="false">IF(OR(S61="",W61=""),"",INDEX(Metodo!$C$6:$G$9,MATCH(S61,Metodo!$B$6:$B$9,0),MATCH(W61,Metodo!$C$5:$G$5,1)))</f>
        <v>OK</v>
      </c>
      <c r="Y61" s="7" t="s">
        <v>396</v>
      </c>
      <c r="Z61" s="8"/>
    </row>
    <row r="62" customFormat="false" ht="109.5" hidden="false" customHeight="true" outlineLevel="0" collapsed="false">
      <c r="A62" s="6" t="s">
        <v>397</v>
      </c>
      <c r="B62" s="6" t="s">
        <v>390</v>
      </c>
      <c r="C62" s="7" t="s">
        <v>391</v>
      </c>
      <c r="D62" s="6" t="s">
        <v>66</v>
      </c>
      <c r="E62" s="7" t="s">
        <v>67</v>
      </c>
      <c r="F62" s="7" t="s">
        <v>286</v>
      </c>
      <c r="G62" s="8" t="s">
        <v>287</v>
      </c>
      <c r="H62" s="7" t="s">
        <v>398</v>
      </c>
      <c r="I62" s="7" t="s">
        <v>61</v>
      </c>
      <c r="J62" s="7" t="s">
        <v>399</v>
      </c>
      <c r="K62" s="6" t="n">
        <v>2</v>
      </c>
      <c r="L62" s="6" t="n">
        <v>4</v>
      </c>
      <c r="M62" s="6" t="n">
        <v>3</v>
      </c>
      <c r="N62" s="6" t="n">
        <v>3</v>
      </c>
      <c r="O62" s="6" t="n">
        <f aca="false">IF(COUNT(L62:N62)=3,SUM(L62:N62),"")</f>
        <v>10</v>
      </c>
      <c r="P62" s="6" t="str">
        <f aca="false">IF(OR(K62="",O62=""),"",INDEX(Metodo!$C$6:$G$9,MATCH(K62,Metodo!$B$6:$B$9,0),MATCH(O62,Metodo!$C$5:$G$5,1)))</f>
        <v>Suggerite</v>
      </c>
      <c r="Q62" s="7" t="s">
        <v>400</v>
      </c>
      <c r="R62" s="7" t="s">
        <v>401</v>
      </c>
      <c r="S62" s="6" t="n">
        <v>2</v>
      </c>
      <c r="T62" s="6" t="n">
        <v>3</v>
      </c>
      <c r="U62" s="6" t="n">
        <v>2</v>
      </c>
      <c r="V62" s="6" t="n">
        <v>1</v>
      </c>
      <c r="W62" s="6" t="n">
        <f aca="false">IF(COUNT(T62:V62)=3,SUM(T62:V62),"")</f>
        <v>6</v>
      </c>
      <c r="X62" s="6" t="str">
        <f aca="false">IF(OR(S62="",W62=""),"",INDEX(Metodo!$C$6:$G$9,MATCH(S62,Metodo!$B$6:$B$9,0),MATCH(W62,Metodo!$C$5:$G$5,1)))</f>
        <v>OK</v>
      </c>
      <c r="Y62" s="7" t="s">
        <v>396</v>
      </c>
      <c r="Z62" s="8"/>
    </row>
    <row r="63" customFormat="false" ht="109.5" hidden="false" customHeight="true" outlineLevel="0" collapsed="false">
      <c r="A63" s="6" t="s">
        <v>402</v>
      </c>
      <c r="B63" s="6" t="s">
        <v>403</v>
      </c>
      <c r="C63" s="7" t="s">
        <v>404</v>
      </c>
      <c r="D63" s="6" t="s">
        <v>44</v>
      </c>
      <c r="E63" s="7" t="s">
        <v>45</v>
      </c>
      <c r="F63" s="7" t="s">
        <v>46</v>
      </c>
      <c r="G63" s="8" t="s">
        <v>47</v>
      </c>
      <c r="H63" s="7" t="s">
        <v>189</v>
      </c>
      <c r="I63" s="7" t="s">
        <v>61</v>
      </c>
      <c r="J63" s="7" t="s">
        <v>405</v>
      </c>
      <c r="K63" s="6" t="n">
        <v>2</v>
      </c>
      <c r="L63" s="6" t="n">
        <v>5</v>
      </c>
      <c r="M63" s="6" t="n">
        <v>3</v>
      </c>
      <c r="N63" s="6" t="n">
        <v>5</v>
      </c>
      <c r="O63" s="6" t="n">
        <f aca="false">IF(COUNT(L63:N63)=3,SUM(L63:N63),"")</f>
        <v>13</v>
      </c>
      <c r="P63" s="6" t="str">
        <f aca="false">IF(OR(K63="",O63=""),"",INDEX(Metodo!$C$6:$G$9,MATCH(K63,Metodo!$B$6:$B$9,0),MATCH(O63,Metodo!$C$5:$G$5,1)))</f>
        <v>Richieste</v>
      </c>
      <c r="Q63" s="7" t="s">
        <v>406</v>
      </c>
      <c r="R63" s="7"/>
      <c r="S63" s="6" t="n">
        <v>2</v>
      </c>
      <c r="T63" s="6" t="n">
        <v>2</v>
      </c>
      <c r="U63" s="6" t="n">
        <v>1</v>
      </c>
      <c r="V63" s="6" t="n">
        <v>3</v>
      </c>
      <c r="W63" s="6" t="n">
        <f aca="false">IF(COUNT(T63:V63)=3,SUM(T63:V63),"")</f>
        <v>6</v>
      </c>
      <c r="X63" s="6" t="str">
        <f aca="false">IF(OR(S63="",W63=""),"",INDEX(Metodo!$C$6:$G$9,MATCH(S63,Metodo!$B$6:$B$9,0),MATCH(W63,Metodo!$C$5:$G$5,1)))</f>
        <v>OK</v>
      </c>
      <c r="Y63" s="7" t="s">
        <v>407</v>
      </c>
      <c r="Z63" s="8"/>
    </row>
    <row r="64" customFormat="false" ht="109.5" hidden="false" customHeight="true" outlineLevel="0" collapsed="false">
      <c r="A64" s="6" t="s">
        <v>408</v>
      </c>
      <c r="B64" s="6" t="s">
        <v>409</v>
      </c>
      <c r="C64" s="7" t="s">
        <v>410</v>
      </c>
      <c r="D64" s="6" t="s">
        <v>44</v>
      </c>
      <c r="E64" s="7" t="s">
        <v>45</v>
      </c>
      <c r="F64" s="7" t="s">
        <v>46</v>
      </c>
      <c r="G64" s="8" t="s">
        <v>47</v>
      </c>
      <c r="H64" s="7" t="s">
        <v>411</v>
      </c>
      <c r="I64" s="7" t="s">
        <v>61</v>
      </c>
      <c r="J64" s="7" t="s">
        <v>412</v>
      </c>
      <c r="K64" s="6" t="n">
        <v>2</v>
      </c>
      <c r="L64" s="6" t="n">
        <v>4</v>
      </c>
      <c r="M64" s="6" t="n">
        <v>2</v>
      </c>
      <c r="N64" s="6" t="n">
        <v>5</v>
      </c>
      <c r="O64" s="6" t="n">
        <f aca="false">IF(COUNT(L64:N64)=3,SUM(L64:N64),"")</f>
        <v>11</v>
      </c>
      <c r="P64" s="6" t="str">
        <f aca="false">IF(OR(K64="",O64=""),"",INDEX(Metodo!$C$6:$G$9,MATCH(K64,Metodo!$B$6:$B$9,0),MATCH(O64,Metodo!$C$5:$G$5,1)))</f>
        <v>Richieste</v>
      </c>
      <c r="Q64" s="7" t="s">
        <v>413</v>
      </c>
      <c r="R64" s="7" t="s">
        <v>414</v>
      </c>
      <c r="S64" s="6" t="n">
        <v>2</v>
      </c>
      <c r="T64" s="6" t="n">
        <v>2</v>
      </c>
      <c r="U64" s="6" t="n">
        <v>1</v>
      </c>
      <c r="V64" s="6" t="n">
        <v>3</v>
      </c>
      <c r="W64" s="6" t="n">
        <f aca="false">IF(COUNT(T64:V64)=3,SUM(T64:V64),"")</f>
        <v>6</v>
      </c>
      <c r="X64" s="6" t="str">
        <f aca="false">IF(OR(S64="",W64=""),"",INDEX(Metodo!$C$6:$G$9,MATCH(S64,Metodo!$B$6:$B$9,0),MATCH(W64,Metodo!$C$5:$G$5,1)))</f>
        <v>OK</v>
      </c>
      <c r="Y64" s="7" t="s">
        <v>51</v>
      </c>
      <c r="Z64" s="8"/>
    </row>
    <row r="65" customFormat="false" ht="109.5" hidden="false" customHeight="true" outlineLevel="0" collapsed="false">
      <c r="A65" s="6" t="s">
        <v>415</v>
      </c>
      <c r="B65" s="6" t="s">
        <v>416</v>
      </c>
      <c r="C65" s="7" t="s">
        <v>417</v>
      </c>
      <c r="D65" s="6" t="s">
        <v>44</v>
      </c>
      <c r="E65" s="7" t="s">
        <v>45</v>
      </c>
      <c r="F65" s="7" t="s">
        <v>46</v>
      </c>
      <c r="G65" s="8" t="s">
        <v>47</v>
      </c>
      <c r="H65" s="7" t="s">
        <v>418</v>
      </c>
      <c r="I65" s="7" t="s">
        <v>61</v>
      </c>
      <c r="J65" s="7" t="s">
        <v>419</v>
      </c>
      <c r="K65" s="6" t="n">
        <v>2</v>
      </c>
      <c r="L65" s="6" t="n">
        <v>5</v>
      </c>
      <c r="M65" s="6" t="n">
        <v>2</v>
      </c>
      <c r="N65" s="6" t="n">
        <v>3</v>
      </c>
      <c r="O65" s="6" t="n">
        <f aca="false">IF(COUNT(L65:N65)=3,SUM(L65:N65),"")</f>
        <v>10</v>
      </c>
      <c r="P65" s="6" t="str">
        <f aca="false">IF(OR(K65="",O65=""),"",INDEX(Metodo!$C$6:$G$9,MATCH(K65,Metodo!$B$6:$B$9,0),MATCH(O65,Metodo!$C$5:$G$5,1)))</f>
        <v>Suggerite</v>
      </c>
      <c r="Q65" s="7" t="s">
        <v>420</v>
      </c>
      <c r="R65" s="7" t="s">
        <v>421</v>
      </c>
      <c r="S65" s="6" t="n">
        <v>2</v>
      </c>
      <c r="T65" s="6" t="n">
        <v>4</v>
      </c>
      <c r="U65" s="6" t="n">
        <v>1</v>
      </c>
      <c r="V65" s="6" t="n">
        <v>1</v>
      </c>
      <c r="W65" s="6" t="n">
        <f aca="false">IF(COUNT(T65:V65)=3,SUM(T65:V65),"")</f>
        <v>6</v>
      </c>
      <c r="X65" s="6" t="str">
        <f aca="false">IF(OR(S65="",W65=""),"",INDEX(Metodo!$C$6:$G$9,MATCH(S65,Metodo!$B$6:$B$9,0),MATCH(W65,Metodo!$C$5:$G$5,1)))</f>
        <v>OK</v>
      </c>
      <c r="Y65" s="7" t="s">
        <v>422</v>
      </c>
      <c r="Z65" s="8"/>
    </row>
    <row r="66" customFormat="false" ht="109.5" hidden="false" customHeight="true" outlineLevel="0" collapsed="false">
      <c r="A66" s="6" t="s">
        <v>423</v>
      </c>
      <c r="B66" s="6" t="s">
        <v>424</v>
      </c>
      <c r="C66" s="7" t="s">
        <v>425</v>
      </c>
      <c r="D66" s="6" t="s">
        <v>44</v>
      </c>
      <c r="E66" s="7" t="s">
        <v>45</v>
      </c>
      <c r="F66" s="7" t="s">
        <v>46</v>
      </c>
      <c r="G66" s="8" t="s">
        <v>47</v>
      </c>
      <c r="H66" s="7" t="s">
        <v>426</v>
      </c>
      <c r="I66" s="7" t="s">
        <v>427</v>
      </c>
      <c r="J66" s="7" t="s">
        <v>428</v>
      </c>
      <c r="K66" s="6" t="n">
        <v>3</v>
      </c>
      <c r="L66" s="6" t="n">
        <v>5</v>
      </c>
      <c r="M66" s="6" t="n">
        <v>3</v>
      </c>
      <c r="N66" s="6" t="n">
        <v>5</v>
      </c>
      <c r="O66" s="6" t="n">
        <f aca="false">IF(COUNT(L66:N66)=3,SUM(L66:N66),"")</f>
        <v>13</v>
      </c>
      <c r="P66" s="6" t="str">
        <f aca="false">IF(OR(K66="",O66=""),"",INDEX(Metodo!$C$6:$G$9,MATCH(K66,Metodo!$B$6:$B$9,0),MATCH(O66,Metodo!$C$5:$G$5,1)))</f>
        <v>Richieste</v>
      </c>
      <c r="Q66" s="7" t="s">
        <v>429</v>
      </c>
      <c r="R66" s="7" t="s">
        <v>430</v>
      </c>
      <c r="S66" s="6" t="n">
        <v>3</v>
      </c>
      <c r="T66" s="6" t="n">
        <v>2</v>
      </c>
      <c r="U66" s="6" t="n">
        <v>1</v>
      </c>
      <c r="V66" s="6" t="n">
        <v>1</v>
      </c>
      <c r="W66" s="6" t="n">
        <f aca="false">IF(COUNT(T66:V66)=3,SUM(T66:V66),"")</f>
        <v>4</v>
      </c>
      <c r="X66" s="6" t="str">
        <f aca="false">IF(OR(S66="",W66=""),"",INDEX(Metodo!$C$6:$G$9,MATCH(S66,Metodo!$B$6:$B$9,0),MATCH(W66,Metodo!$C$5:$G$5,1)))</f>
        <v>OK</v>
      </c>
      <c r="Y66" s="7" t="s">
        <v>431</v>
      </c>
      <c r="Z66" s="8"/>
    </row>
    <row r="67" customFormat="false" ht="109.5" hidden="false" customHeight="true" outlineLevel="0" collapsed="false">
      <c r="A67" s="6" t="s">
        <v>432</v>
      </c>
      <c r="B67" s="6" t="s">
        <v>433</v>
      </c>
      <c r="C67" s="7" t="s">
        <v>434</v>
      </c>
      <c r="D67" s="6" t="s">
        <v>44</v>
      </c>
      <c r="E67" s="7" t="s">
        <v>45</v>
      </c>
      <c r="F67" s="7" t="s">
        <v>46</v>
      </c>
      <c r="G67" s="8" t="s">
        <v>47</v>
      </c>
      <c r="H67" s="7" t="s">
        <v>435</v>
      </c>
      <c r="I67" s="7" t="s">
        <v>436</v>
      </c>
      <c r="J67" s="7" t="s">
        <v>437</v>
      </c>
      <c r="K67" s="6" t="n">
        <v>3</v>
      </c>
      <c r="L67" s="6" t="n">
        <v>4</v>
      </c>
      <c r="M67" s="6" t="n">
        <v>3</v>
      </c>
      <c r="N67" s="6" t="n">
        <v>3</v>
      </c>
      <c r="O67" s="6" t="n">
        <f aca="false">IF(COUNT(L67:N67)=3,SUM(L67:N67),"")</f>
        <v>10</v>
      </c>
      <c r="P67" s="6" t="str">
        <f aca="false">IF(OR(K67="",O67=""),"",INDEX(Metodo!$C$6:$G$9,MATCH(K67,Metodo!$B$6:$B$9,0),MATCH(O67,Metodo!$C$5:$G$5,1)))</f>
        <v>Richieste</v>
      </c>
      <c r="Q67" s="7" t="s">
        <v>438</v>
      </c>
      <c r="R67" s="7" t="s">
        <v>439</v>
      </c>
      <c r="S67" s="6" t="n">
        <v>3</v>
      </c>
      <c r="T67" s="6" t="n">
        <v>2</v>
      </c>
      <c r="U67" s="6" t="n">
        <v>1</v>
      </c>
      <c r="V67" s="6" t="n">
        <v>1</v>
      </c>
      <c r="W67" s="6" t="n">
        <f aca="false">IF(COUNT(T67:V67)=3,SUM(T67:V67),"")</f>
        <v>4</v>
      </c>
      <c r="X67" s="6" t="str">
        <f aca="false">IF(OR(S67="",W67=""),"",INDEX(Metodo!$C$6:$G$9,MATCH(S67,Metodo!$B$6:$B$9,0),MATCH(W67,Metodo!$C$5:$G$5,1)))</f>
        <v>OK</v>
      </c>
      <c r="Y67" s="7" t="s">
        <v>51</v>
      </c>
      <c r="Z67" s="8"/>
    </row>
    <row r="68" customFormat="false" ht="109.5" hidden="false" customHeight="true" outlineLevel="0" collapsed="false">
      <c r="A68" s="6" t="s">
        <v>440</v>
      </c>
      <c r="B68" s="6" t="s">
        <v>433</v>
      </c>
      <c r="C68" s="7" t="s">
        <v>434</v>
      </c>
      <c r="D68" s="6" t="s">
        <v>203</v>
      </c>
      <c r="E68" s="7" t="s">
        <v>45</v>
      </c>
      <c r="F68" s="7" t="s">
        <v>351</v>
      </c>
      <c r="G68" s="8" t="s">
        <v>47</v>
      </c>
      <c r="H68" s="7" t="s">
        <v>351</v>
      </c>
      <c r="I68" s="7" t="s">
        <v>380</v>
      </c>
      <c r="J68" s="7" t="s">
        <v>441</v>
      </c>
      <c r="K68" s="6" t="n">
        <v>4</v>
      </c>
      <c r="L68" s="6" t="n">
        <v>3</v>
      </c>
      <c r="M68" s="6" t="n">
        <v>3</v>
      </c>
      <c r="N68" s="6" t="n">
        <v>5</v>
      </c>
      <c r="O68" s="6" t="n">
        <f aca="false">IF(COUNT(L68:N68)=3,SUM(L68:N68),"")</f>
        <v>11</v>
      </c>
      <c r="P68" s="6" t="str">
        <f aca="false">IF(OR(K68="",O68=""),"",INDEX(Metodo!$C$6:$G$9,MATCH(K68,Metodo!$B$6:$B$9,0),MATCH(O68,Metodo!$C$5:$G$5,1)))</f>
        <v>Richieste</v>
      </c>
      <c r="Q68" s="7" t="s">
        <v>442</v>
      </c>
      <c r="R68" s="7" t="s">
        <v>443</v>
      </c>
      <c r="S68" s="6" t="n">
        <v>4</v>
      </c>
      <c r="T68" s="6" t="n">
        <v>2</v>
      </c>
      <c r="U68" s="6" t="n">
        <v>1</v>
      </c>
      <c r="V68" s="6" t="n">
        <v>1</v>
      </c>
      <c r="W68" s="6" t="n">
        <f aca="false">IF(COUNT(T68:V68)=3,SUM(T68:V68),"")</f>
        <v>4</v>
      </c>
      <c r="X68" s="6" t="str">
        <f aca="false">IF(OR(S68="",W68=""),"",INDEX(Metodo!$C$6:$G$9,MATCH(S68,Metodo!$B$6:$B$9,0),MATCH(W68,Metodo!$C$5:$G$5,1)))</f>
        <v>Suggerite</v>
      </c>
      <c r="Y68" s="7" t="s">
        <v>51</v>
      </c>
      <c r="Z68" s="8" t="s">
        <v>168</v>
      </c>
    </row>
    <row r="69" customFormat="false" ht="109.5" hidden="false" customHeight="true" outlineLevel="0" collapsed="false">
      <c r="A69" s="6" t="s">
        <v>444</v>
      </c>
      <c r="B69" s="6" t="s">
        <v>445</v>
      </c>
      <c r="C69" s="7" t="s">
        <v>446</v>
      </c>
      <c r="D69" s="6" t="s">
        <v>44</v>
      </c>
      <c r="E69" s="7" t="s">
        <v>45</v>
      </c>
      <c r="F69" s="7" t="s">
        <v>196</v>
      </c>
      <c r="G69" s="8" t="s">
        <v>197</v>
      </c>
      <c r="H69" s="7" t="s">
        <v>447</v>
      </c>
      <c r="I69" s="7" t="s">
        <v>97</v>
      </c>
      <c r="J69" s="7" t="s">
        <v>448</v>
      </c>
      <c r="K69" s="6" t="n">
        <v>1</v>
      </c>
      <c r="L69" s="6" t="n">
        <v>5</v>
      </c>
      <c r="M69" s="6" t="n">
        <v>2</v>
      </c>
      <c r="N69" s="6" t="n">
        <v>3</v>
      </c>
      <c r="O69" s="6" t="n">
        <f aca="false">IF(COUNT(L69:N69)=3,SUM(L69:N69),"")</f>
        <v>10</v>
      </c>
      <c r="P69" s="6" t="str">
        <f aca="false">IF(OR(K69="",O69=""),"",INDEX(Metodo!$C$6:$G$9,MATCH(K69,Metodo!$B$6:$B$9,0),MATCH(O69,Metodo!$C$5:$G$5,1)))</f>
        <v>OK</v>
      </c>
      <c r="Q69" s="7" t="s">
        <v>449</v>
      </c>
      <c r="R69" s="7" t="s">
        <v>450</v>
      </c>
      <c r="S69" s="6"/>
      <c r="T69" s="6"/>
      <c r="U69" s="6"/>
      <c r="V69" s="6"/>
      <c r="W69" s="6" t="str">
        <f aca="false">IF(COUNT(T69:V69)=3,SUM(T69:V69),"")</f>
        <v/>
      </c>
      <c r="X69" s="6" t="str">
        <f aca="false">IF(OR(S69="",W69=""),"",INDEX(Metodo!$C$6:$G$9,MATCH(S69,Metodo!$B$6:$B$9,0),MATCH(W69,Metodo!$C$5:$G$5,1)))</f>
        <v/>
      </c>
      <c r="Y69" s="7" t="s">
        <v>451</v>
      </c>
      <c r="Z69" s="8" t="s">
        <v>256</v>
      </c>
    </row>
    <row r="70" customFormat="false" ht="109.5" hidden="false" customHeight="true" outlineLevel="0" collapsed="false">
      <c r="A70" s="6" t="s">
        <v>452</v>
      </c>
      <c r="B70" s="6" t="s">
        <v>453</v>
      </c>
      <c r="C70" s="7" t="s">
        <v>454</v>
      </c>
      <c r="D70" s="6" t="s">
        <v>44</v>
      </c>
      <c r="E70" s="7" t="s">
        <v>45</v>
      </c>
      <c r="F70" s="7" t="s">
        <v>46</v>
      </c>
      <c r="G70" s="8" t="s">
        <v>47</v>
      </c>
      <c r="H70" s="7" t="s">
        <v>455</v>
      </c>
      <c r="I70" s="7" t="s">
        <v>436</v>
      </c>
      <c r="J70" s="7" t="s">
        <v>456</v>
      </c>
      <c r="K70" s="6" t="n">
        <v>4</v>
      </c>
      <c r="L70" s="6" t="n">
        <v>4</v>
      </c>
      <c r="M70" s="6" t="n">
        <v>3</v>
      </c>
      <c r="N70" s="6" t="n">
        <v>5</v>
      </c>
      <c r="O70" s="6" t="n">
        <f aca="false">IF(COUNT(L70:N70)=3,SUM(L70:N70),"")</f>
        <v>12</v>
      </c>
      <c r="P70" s="6" t="str">
        <f aca="false">IF(OR(K70="",O70=""),"",INDEX(Metodo!$C$6:$G$9,MATCH(K70,Metodo!$B$6:$B$9,0),MATCH(O70,Metodo!$C$5:$G$5,1)))</f>
        <v>Richieste</v>
      </c>
      <c r="Q70" s="7" t="s">
        <v>457</v>
      </c>
      <c r="R70" s="7" t="s">
        <v>458</v>
      </c>
      <c r="S70" s="6" t="n">
        <v>4</v>
      </c>
      <c r="T70" s="6" t="n">
        <v>2</v>
      </c>
      <c r="U70" s="6" t="n">
        <v>1</v>
      </c>
      <c r="V70" s="6" t="n">
        <v>1</v>
      </c>
      <c r="W70" s="6" t="n">
        <f aca="false">IF(COUNT(T70:V70)=3,SUM(T70:V70),"")</f>
        <v>4</v>
      </c>
      <c r="X70" s="6" t="str">
        <f aca="false">IF(OR(S70="",W70=""),"",INDEX(Metodo!$C$6:$G$9,MATCH(S70,Metodo!$B$6:$B$9,0),MATCH(W70,Metodo!$C$5:$G$5,1)))</f>
        <v>Suggerite</v>
      </c>
      <c r="Y70" s="7" t="s">
        <v>459</v>
      </c>
      <c r="Z70" s="8" t="s">
        <v>168</v>
      </c>
    </row>
    <row r="71" customFormat="false" ht="109.5" hidden="false" customHeight="true" outlineLevel="0" collapsed="false">
      <c r="A71" s="6" t="s">
        <v>460</v>
      </c>
      <c r="B71" s="6" t="s">
        <v>461</v>
      </c>
      <c r="C71" s="7" t="s">
        <v>462</v>
      </c>
      <c r="D71" s="6" t="s">
        <v>44</v>
      </c>
      <c r="E71" s="7" t="s">
        <v>45</v>
      </c>
      <c r="F71" s="7" t="s">
        <v>46</v>
      </c>
      <c r="G71" s="8" t="s">
        <v>47</v>
      </c>
      <c r="H71" s="7"/>
      <c r="I71" s="7" t="s">
        <v>380</v>
      </c>
      <c r="J71" s="7"/>
      <c r="K71" s="6"/>
      <c r="L71" s="6"/>
      <c r="M71" s="6"/>
      <c r="N71" s="6"/>
      <c r="O71" s="6" t="str">
        <f aca="false">IF(COUNT(L71:N71)=3,SUM(L71:N71),"")</f>
        <v/>
      </c>
      <c r="P71" s="6" t="str">
        <f aca="false">IF(OR(K71="",O71=""),"",INDEX(Metodo!$C$6:$G$9,MATCH(K71,Metodo!$B$6:$B$9,0),MATCH(O71,Metodo!$C$5:$G$5,1)))</f>
        <v/>
      </c>
      <c r="Q71" s="7" t="s">
        <v>463</v>
      </c>
      <c r="R71" s="7" t="s">
        <v>439</v>
      </c>
      <c r="S71" s="6"/>
      <c r="T71" s="6"/>
      <c r="U71" s="6"/>
      <c r="V71" s="6"/>
      <c r="W71" s="6" t="str">
        <f aca="false">IF(COUNT(T71:V71)=3,SUM(T71:V71),"")</f>
        <v/>
      </c>
      <c r="X71" s="6" t="str">
        <f aca="false">IF(OR(S71="",W71=""),"",INDEX(Metodo!$C$6:$G$9,MATCH(S71,Metodo!$B$6:$B$9,0),MATCH(W71,Metodo!$C$5:$G$5,1)))</f>
        <v/>
      </c>
      <c r="Y71" s="7" t="s">
        <v>51</v>
      </c>
      <c r="Z71" s="8" t="s">
        <v>52</v>
      </c>
    </row>
    <row r="72" customFormat="false" ht="109.5" hidden="false" customHeight="true" outlineLevel="0" collapsed="false">
      <c r="A72" s="6" t="s">
        <v>464</v>
      </c>
      <c r="B72" s="6" t="s">
        <v>465</v>
      </c>
      <c r="C72" s="7" t="s">
        <v>466</v>
      </c>
      <c r="D72" s="6" t="s">
        <v>44</v>
      </c>
      <c r="E72" s="7" t="s">
        <v>45</v>
      </c>
      <c r="F72" s="7" t="s">
        <v>467</v>
      </c>
      <c r="G72" s="8" t="s">
        <v>47</v>
      </c>
      <c r="H72" s="7"/>
      <c r="I72" s="7" t="s">
        <v>48</v>
      </c>
      <c r="J72" s="7"/>
      <c r="K72" s="6"/>
      <c r="L72" s="6"/>
      <c r="M72" s="6"/>
      <c r="N72" s="6"/>
      <c r="O72" s="6" t="str">
        <f aca="false">IF(COUNT(L72:N72)=3,SUM(L72:N72),"")</f>
        <v/>
      </c>
      <c r="P72" s="6" t="str">
        <f aca="false">IF(OR(K72="",O72=""),"",INDEX(Metodo!$C$6:$G$9,MATCH(K72,Metodo!$B$6:$B$9,0),MATCH(O72,Metodo!$C$5:$G$5,1)))</f>
        <v/>
      </c>
      <c r="Q72" s="7" t="s">
        <v>468</v>
      </c>
      <c r="R72" s="7"/>
      <c r="S72" s="6"/>
      <c r="T72" s="6"/>
      <c r="U72" s="6"/>
      <c r="V72" s="6"/>
      <c r="W72" s="6" t="str">
        <f aca="false">IF(COUNT(T72:V72)=3,SUM(T72:V72),"")</f>
        <v/>
      </c>
      <c r="X72" s="6" t="str">
        <f aca="false">IF(OR(S72="",W72=""),"",INDEX(Metodo!$C$6:$G$9,MATCH(S72,Metodo!$B$6:$B$9,0),MATCH(W72,Metodo!$C$5:$G$5,1)))</f>
        <v/>
      </c>
      <c r="Y72" s="7" t="s">
        <v>469</v>
      </c>
      <c r="Z72" s="8" t="s">
        <v>52</v>
      </c>
    </row>
    <row r="73" customFormat="false" ht="109.5" hidden="false" customHeight="true" outlineLevel="0" collapsed="false">
      <c r="A73" s="6" t="s">
        <v>470</v>
      </c>
      <c r="B73" s="6" t="s">
        <v>471</v>
      </c>
      <c r="C73" s="7" t="s">
        <v>472</v>
      </c>
      <c r="D73" s="6" t="s">
        <v>44</v>
      </c>
      <c r="E73" s="7" t="s">
        <v>45</v>
      </c>
      <c r="F73" s="7" t="s">
        <v>467</v>
      </c>
      <c r="G73" s="8" t="s">
        <v>47</v>
      </c>
      <c r="H73" s="7"/>
      <c r="I73" s="7" t="s">
        <v>61</v>
      </c>
      <c r="J73" s="7"/>
      <c r="K73" s="6"/>
      <c r="L73" s="6"/>
      <c r="M73" s="6"/>
      <c r="N73" s="6"/>
      <c r="O73" s="6" t="str">
        <f aca="false">IF(COUNT(L73:N73)=3,SUM(L73:N73),"")</f>
        <v/>
      </c>
      <c r="P73" s="6" t="str">
        <f aca="false">IF(OR(K73="",O73=""),"",INDEX(Metodo!$C$6:$G$9,MATCH(K73,Metodo!$B$6:$B$9,0),MATCH(O73,Metodo!$C$5:$G$5,1)))</f>
        <v/>
      </c>
      <c r="Q73" s="7" t="s">
        <v>473</v>
      </c>
      <c r="R73" s="7"/>
      <c r="S73" s="6"/>
      <c r="T73" s="6"/>
      <c r="U73" s="6"/>
      <c r="V73" s="6"/>
      <c r="W73" s="6" t="str">
        <f aca="false">IF(COUNT(T73:V73)=3,SUM(T73:V73),"")</f>
        <v/>
      </c>
      <c r="X73" s="6" t="str">
        <f aca="false">IF(OR(S73="",W73=""),"",INDEX(Metodo!$C$6:$G$9,MATCH(S73,Metodo!$B$6:$B$9,0),MATCH(W73,Metodo!$C$5:$G$5,1)))</f>
        <v/>
      </c>
      <c r="Y73" s="7" t="s">
        <v>474</v>
      </c>
      <c r="Z73" s="8" t="s">
        <v>52</v>
      </c>
    </row>
    <row r="74" customFormat="false" ht="109.5" hidden="false" customHeight="true" outlineLevel="0" collapsed="false">
      <c r="A74" s="6" t="s">
        <v>475</v>
      </c>
      <c r="B74" s="6" t="s">
        <v>476</v>
      </c>
      <c r="C74" s="7" t="s">
        <v>477</v>
      </c>
      <c r="D74" s="6" t="s">
        <v>44</v>
      </c>
      <c r="E74" s="7" t="s">
        <v>45</v>
      </c>
      <c r="F74" s="7" t="s">
        <v>467</v>
      </c>
      <c r="G74" s="8" t="s">
        <v>47</v>
      </c>
      <c r="H74" s="7"/>
      <c r="I74" s="7" t="s">
        <v>61</v>
      </c>
      <c r="J74" s="7"/>
      <c r="K74" s="6"/>
      <c r="L74" s="6"/>
      <c r="M74" s="6"/>
      <c r="N74" s="6"/>
      <c r="O74" s="6" t="str">
        <f aca="false">IF(COUNT(L74:N74)=3,SUM(L74:N74),"")</f>
        <v/>
      </c>
      <c r="P74" s="6" t="str">
        <f aca="false">IF(OR(K74="",O74=""),"",INDEX(Metodo!$C$6:$G$9,MATCH(K74,Metodo!$B$6:$B$9,0),MATCH(O74,Metodo!$C$5:$G$5,1)))</f>
        <v/>
      </c>
      <c r="Q74" s="7" t="s">
        <v>478</v>
      </c>
      <c r="R74" s="7"/>
      <c r="S74" s="6"/>
      <c r="T74" s="6"/>
      <c r="U74" s="6"/>
      <c r="V74" s="6"/>
      <c r="W74" s="6" t="str">
        <f aca="false">IF(COUNT(T74:V74)=3,SUM(T74:V74),"")</f>
        <v/>
      </c>
      <c r="X74" s="6" t="str">
        <f aca="false">IF(OR(S74="",W74=""),"",INDEX(Metodo!$C$6:$G$9,MATCH(S74,Metodo!$B$6:$B$9,0),MATCH(W74,Metodo!$C$5:$G$5,1)))</f>
        <v/>
      </c>
      <c r="Y74" s="7" t="s">
        <v>479</v>
      </c>
      <c r="Z74" s="8" t="s">
        <v>52</v>
      </c>
    </row>
    <row r="75" customFormat="false" ht="109.5" hidden="false" customHeight="true" outlineLevel="0" collapsed="false">
      <c r="A75" s="6" t="s">
        <v>480</v>
      </c>
      <c r="B75" s="6" t="s">
        <v>481</v>
      </c>
      <c r="C75" s="7" t="s">
        <v>482</v>
      </c>
      <c r="D75" s="6" t="s">
        <v>44</v>
      </c>
      <c r="E75" s="7" t="s">
        <v>45</v>
      </c>
      <c r="F75" s="7" t="s">
        <v>467</v>
      </c>
      <c r="G75" s="8" t="s">
        <v>47</v>
      </c>
      <c r="H75" s="7"/>
      <c r="I75" s="7" t="s">
        <v>48</v>
      </c>
      <c r="J75" s="7"/>
      <c r="K75" s="6"/>
      <c r="L75" s="6"/>
      <c r="M75" s="6"/>
      <c r="N75" s="6"/>
      <c r="O75" s="6" t="str">
        <f aca="false">IF(COUNT(L75:N75)=3,SUM(L75:N75),"")</f>
        <v/>
      </c>
      <c r="P75" s="6" t="str">
        <f aca="false">IF(OR(K75="",O75=""),"",INDEX(Metodo!$C$6:$G$9,MATCH(K75,Metodo!$B$6:$B$9,0),MATCH(O75,Metodo!$C$5:$G$5,1)))</f>
        <v/>
      </c>
      <c r="Q75" s="7" t="s">
        <v>483</v>
      </c>
      <c r="R75" s="7" t="s">
        <v>484</v>
      </c>
      <c r="S75" s="6"/>
      <c r="T75" s="6"/>
      <c r="U75" s="6"/>
      <c r="V75" s="6"/>
      <c r="W75" s="6" t="str">
        <f aca="false">IF(COUNT(T75:V75)=3,SUM(T75:V75),"")</f>
        <v/>
      </c>
      <c r="X75" s="6" t="str">
        <f aca="false">IF(OR(S75="",W75=""),"",INDEX(Metodo!$C$6:$G$9,MATCH(S75,Metodo!$B$6:$B$9,0),MATCH(W75,Metodo!$C$5:$G$5,1)))</f>
        <v/>
      </c>
      <c r="Y75" s="7" t="s">
        <v>485</v>
      </c>
      <c r="Z75" s="8" t="s">
        <v>52</v>
      </c>
    </row>
    <row r="76" customFormat="false" ht="109.5" hidden="false" customHeight="true" outlineLevel="0" collapsed="false">
      <c r="A76" s="6" t="s">
        <v>486</v>
      </c>
      <c r="B76" s="6" t="s">
        <v>487</v>
      </c>
      <c r="C76" s="7" t="s">
        <v>488</v>
      </c>
      <c r="D76" s="6" t="s">
        <v>44</v>
      </c>
      <c r="E76" s="7" t="s">
        <v>45</v>
      </c>
      <c r="F76" s="7" t="s">
        <v>467</v>
      </c>
      <c r="G76" s="8" t="s">
        <v>47</v>
      </c>
      <c r="H76" s="7"/>
      <c r="I76" s="7" t="s">
        <v>231</v>
      </c>
      <c r="J76" s="7"/>
      <c r="K76" s="6"/>
      <c r="L76" s="6"/>
      <c r="M76" s="6"/>
      <c r="N76" s="6"/>
      <c r="O76" s="6" t="str">
        <f aca="false">IF(COUNT(L76:N76)=3,SUM(L76:N76),"")</f>
        <v/>
      </c>
      <c r="P76" s="6" t="str">
        <f aca="false">IF(OR(K76="",O76=""),"",INDEX(Metodo!$C$6:$G$9,MATCH(K76,Metodo!$B$6:$B$9,0),MATCH(O76,Metodo!$C$5:$G$5,1)))</f>
        <v/>
      </c>
      <c r="Q76" s="7" t="s">
        <v>489</v>
      </c>
      <c r="R76" s="7"/>
      <c r="S76" s="6"/>
      <c r="T76" s="6"/>
      <c r="U76" s="6"/>
      <c r="V76" s="6"/>
      <c r="W76" s="6" t="str">
        <f aca="false">IF(COUNT(T76:V76)=3,SUM(T76:V76),"")</f>
        <v/>
      </c>
      <c r="X76" s="6" t="str">
        <f aca="false">IF(OR(S76="",W76=""),"",INDEX(Metodo!$C$6:$G$9,MATCH(S76,Metodo!$B$6:$B$9,0),MATCH(W76,Metodo!$C$5:$G$5,1)))</f>
        <v/>
      </c>
      <c r="Y76" s="7" t="s">
        <v>490</v>
      </c>
      <c r="Z76" s="8" t="s">
        <v>52</v>
      </c>
    </row>
    <row r="77" customFormat="false" ht="109.5" hidden="false" customHeight="true" outlineLevel="0" collapsed="false">
      <c r="A77" s="6" t="s">
        <v>491</v>
      </c>
      <c r="B77" s="6" t="s">
        <v>492</v>
      </c>
      <c r="C77" s="7" t="s">
        <v>493</v>
      </c>
      <c r="D77" s="6" t="s">
        <v>44</v>
      </c>
      <c r="E77" s="7" t="s">
        <v>45</v>
      </c>
      <c r="F77" s="7" t="s">
        <v>467</v>
      </c>
      <c r="G77" s="8" t="s">
        <v>47</v>
      </c>
      <c r="H77" s="7"/>
      <c r="I77" s="7" t="s">
        <v>48</v>
      </c>
      <c r="J77" s="7"/>
      <c r="K77" s="6"/>
      <c r="L77" s="6"/>
      <c r="M77" s="6"/>
      <c r="N77" s="6"/>
      <c r="O77" s="6" t="str">
        <f aca="false">IF(COUNT(L77:N77)=3,SUM(L77:N77),"")</f>
        <v/>
      </c>
      <c r="P77" s="6" t="str">
        <f aca="false">IF(OR(K77="",O77=""),"",INDEX(Metodo!$C$6:$G$9,MATCH(K77,Metodo!$B$6:$B$9,0),MATCH(O77,Metodo!$C$5:$G$5,1)))</f>
        <v/>
      </c>
      <c r="Q77" s="7" t="s">
        <v>494</v>
      </c>
      <c r="R77" s="7"/>
      <c r="S77" s="6"/>
      <c r="T77" s="6"/>
      <c r="U77" s="6"/>
      <c r="V77" s="6"/>
      <c r="W77" s="6" t="str">
        <f aca="false">IF(COUNT(T77:V77)=3,SUM(T77:V77),"")</f>
        <v/>
      </c>
      <c r="X77" s="6" t="str">
        <f aca="false">IF(OR(S77="",W77=""),"",INDEX(Metodo!$C$6:$G$9,MATCH(S77,Metodo!$B$6:$B$9,0),MATCH(W77,Metodo!$C$5:$G$5,1)))</f>
        <v/>
      </c>
      <c r="Y77" s="7" t="s">
        <v>490</v>
      </c>
      <c r="Z77" s="8" t="s">
        <v>52</v>
      </c>
    </row>
    <row r="78" customFormat="false" ht="109.5" hidden="false" customHeight="true" outlineLevel="0" collapsed="false">
      <c r="A78" s="6" t="s">
        <v>495</v>
      </c>
      <c r="B78" s="6" t="s">
        <v>496</v>
      </c>
      <c r="C78" s="7" t="s">
        <v>497</v>
      </c>
      <c r="D78" s="6" t="s">
        <v>44</v>
      </c>
      <c r="E78" s="7" t="s">
        <v>45</v>
      </c>
      <c r="F78" s="7" t="s">
        <v>467</v>
      </c>
      <c r="G78" s="8" t="s">
        <v>47</v>
      </c>
      <c r="H78" s="7"/>
      <c r="I78" s="7" t="s">
        <v>48</v>
      </c>
      <c r="J78" s="7"/>
      <c r="K78" s="6"/>
      <c r="L78" s="6"/>
      <c r="M78" s="6"/>
      <c r="N78" s="6"/>
      <c r="O78" s="6" t="str">
        <f aca="false">IF(COUNT(L78:N78)=3,SUM(L78:N78),"")</f>
        <v/>
      </c>
      <c r="P78" s="6" t="str">
        <f aca="false">IF(OR(K78="",O78=""),"",INDEX(Metodo!$C$6:$G$9,MATCH(K78,Metodo!$B$6:$B$9,0),MATCH(O78,Metodo!$C$5:$G$5,1)))</f>
        <v/>
      </c>
      <c r="Q78" s="7" t="s">
        <v>498</v>
      </c>
      <c r="R78" s="7"/>
      <c r="S78" s="6"/>
      <c r="T78" s="6"/>
      <c r="U78" s="6"/>
      <c r="V78" s="6"/>
      <c r="W78" s="6" t="str">
        <f aca="false">IF(COUNT(T78:V78)=3,SUM(T78:V78),"")</f>
        <v/>
      </c>
      <c r="X78" s="6" t="str">
        <f aca="false">IF(OR(S78="",W78=""),"",INDEX(Metodo!$C$6:$G$9,MATCH(S78,Metodo!$B$6:$B$9,0),MATCH(W78,Metodo!$C$5:$G$5,1)))</f>
        <v/>
      </c>
      <c r="Y78" s="7" t="s">
        <v>490</v>
      </c>
      <c r="Z78" s="8" t="s">
        <v>52</v>
      </c>
    </row>
    <row r="79" customFormat="false" ht="109.5" hidden="false" customHeight="true" outlineLevel="0" collapsed="false">
      <c r="A79" s="6" t="s">
        <v>499</v>
      </c>
      <c r="B79" s="6" t="s">
        <v>500</v>
      </c>
      <c r="C79" s="7" t="s">
        <v>501</v>
      </c>
      <c r="D79" s="6" t="s">
        <v>44</v>
      </c>
      <c r="E79" s="7" t="s">
        <v>45</v>
      </c>
      <c r="F79" s="7" t="s">
        <v>467</v>
      </c>
      <c r="G79" s="8" t="s">
        <v>47</v>
      </c>
      <c r="H79" s="7"/>
      <c r="I79" s="7" t="s">
        <v>48</v>
      </c>
      <c r="J79" s="7"/>
      <c r="K79" s="6"/>
      <c r="L79" s="6"/>
      <c r="M79" s="6"/>
      <c r="N79" s="6"/>
      <c r="O79" s="6" t="str">
        <f aca="false">IF(COUNT(L79:N79)=3,SUM(L79:N79),"")</f>
        <v/>
      </c>
      <c r="P79" s="6" t="str">
        <f aca="false">IF(OR(K79="",O79=""),"",INDEX(Metodo!$C$6:$G$9,MATCH(K79,Metodo!$B$6:$B$9,0),MATCH(O79,Metodo!$C$5:$G$5,1)))</f>
        <v/>
      </c>
      <c r="Q79" s="7" t="s">
        <v>502</v>
      </c>
      <c r="R79" s="7" t="s">
        <v>503</v>
      </c>
      <c r="S79" s="6"/>
      <c r="T79" s="6"/>
      <c r="U79" s="6"/>
      <c r="V79" s="6"/>
      <c r="W79" s="6" t="str">
        <f aca="false">IF(COUNT(T79:V79)=3,SUM(T79:V79),"")</f>
        <v/>
      </c>
      <c r="X79" s="6" t="str">
        <f aca="false">IF(OR(S79="",W79=""),"",INDEX(Metodo!$C$6:$G$9,MATCH(S79,Metodo!$B$6:$B$9,0),MATCH(W79,Metodo!$C$5:$G$5,1)))</f>
        <v/>
      </c>
      <c r="Y79" s="7"/>
      <c r="Z79" s="8" t="s">
        <v>52</v>
      </c>
    </row>
  </sheetData>
  <autoFilter ref="A1:Z79"/>
  <conditionalFormatting sqref="P2:P79">
    <cfRule type="cellIs" priority="2" operator="equal" aboveAverage="0" equalAverage="0" bottom="0" percent="0" rank="0" text="" dxfId="7">
      <formula>"OK"</formula>
    </cfRule>
    <cfRule type="cellIs" priority="3" operator="equal" aboveAverage="0" equalAverage="0" bottom="0" percent="0" rank="0" text="" dxfId="8">
      <formula>"Suggerite"</formula>
    </cfRule>
    <cfRule type="cellIs" priority="4" operator="equal" aboveAverage="0" equalAverage="0" bottom="0" percent="0" rank="0" text="" dxfId="9">
      <formula>"Richieste"</formula>
    </cfRule>
  </conditionalFormatting>
  <conditionalFormatting sqref="X2:X79">
    <cfRule type="cellIs" priority="5" operator="equal" aboveAverage="0" equalAverage="0" bottom="0" percent="0" rank="0" text="" dxfId="7">
      <formula>"OK"</formula>
    </cfRule>
    <cfRule type="cellIs" priority="6" operator="equal" aboveAverage="0" equalAverage="0" bottom="0" percent="0" rank="0" text="" dxfId="8">
      <formula>"Suggerite"</formula>
    </cfRule>
    <cfRule type="cellIs" priority="7" operator="equal" aboveAverage="0" equalAverage="0" bottom="0" percent="0" rank="0" text="" dxfId="9">
      <formula>"Richieste"</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4"/>
    <col collapsed="false" customWidth="true" hidden="false" outlineLevel="0" max="2" min="2" style="0" width="12"/>
    <col collapsed="false" customWidth="true" hidden="false" outlineLevel="0" max="3" min="3" style="0" width="46"/>
    <col collapsed="false" customWidth="true" hidden="false" outlineLevel="0" max="4" min="4" style="0" width="20"/>
    <col collapsed="false" customWidth="true" hidden="false" outlineLevel="0" max="5" min="5" style="0" width="50"/>
  </cols>
  <sheetData>
    <row r="1" customFormat="false" ht="42" hidden="false" customHeight="true" outlineLevel="0" collapsed="false">
      <c r="A1" s="5" t="s">
        <v>20</v>
      </c>
      <c r="B1" s="5" t="s">
        <v>504</v>
      </c>
      <c r="C1" s="5" t="s">
        <v>505</v>
      </c>
      <c r="D1" s="5" t="s">
        <v>506</v>
      </c>
      <c r="E1" s="5" t="s">
        <v>507</v>
      </c>
    </row>
    <row r="2" customFormat="false" ht="15" hidden="false" customHeight="false" outlineLevel="0" collapsed="false">
      <c r="A2" s="7" t="s">
        <v>46</v>
      </c>
      <c r="B2" s="6" t="n">
        <f aca="false">COUNTIF(Libreria!$F$2:$F$79,A2)</f>
        <v>25</v>
      </c>
      <c r="C2" s="7" t="s">
        <v>47</v>
      </c>
      <c r="D2" s="6" t="n">
        <f aca="false">COUNTIFS(Libreria!$F$2:$F$79,A2,Libreria!$K$2:$K$79,"&lt;&gt;",Libreria!$X$2:$X$79,"&lt;&gt;OK")</f>
        <v>2</v>
      </c>
      <c r="E2" s="7"/>
    </row>
    <row r="3" customFormat="false" ht="15" hidden="false" customHeight="false" outlineLevel="0" collapsed="false">
      <c r="A3" s="7" t="s">
        <v>68</v>
      </c>
      <c r="B3" s="6" t="n">
        <f aca="false">COUNTIF(Libreria!$F$2:$F$79,A3)</f>
        <v>2</v>
      </c>
      <c r="C3" s="7" t="s">
        <v>69</v>
      </c>
      <c r="D3" s="6" t="n">
        <f aca="false">COUNTIFS(Libreria!$F$2:$F$79,A3,Libreria!$K$2:$K$79,"&lt;&gt;",Libreria!$X$2:$X$79,"&lt;&gt;OK")</f>
        <v>0</v>
      </c>
      <c r="E3" s="7"/>
    </row>
    <row r="4" customFormat="false" ht="15" hidden="false" customHeight="false" outlineLevel="0" collapsed="false">
      <c r="A4" s="7" t="s">
        <v>105</v>
      </c>
      <c r="B4" s="6" t="n">
        <f aca="false">COUNTIF(Libreria!$F$2:$F$79,A4)</f>
        <v>15</v>
      </c>
      <c r="C4" s="7" t="s">
        <v>47</v>
      </c>
      <c r="D4" s="6" t="n">
        <f aca="false">COUNTIFS(Libreria!$F$2:$F$79,A4,Libreria!$K$2:$K$79,"&lt;&gt;",Libreria!$X$2:$X$79,"&lt;&gt;OK")</f>
        <v>2</v>
      </c>
      <c r="E4" s="7"/>
    </row>
    <row r="5" customFormat="false" ht="15" hidden="false" customHeight="false" outlineLevel="0" collapsed="false">
      <c r="A5" s="7" t="s">
        <v>196</v>
      </c>
      <c r="B5" s="6" t="n">
        <f aca="false">COUNTIF(Libreria!$F$2:$F$79,A5)</f>
        <v>10</v>
      </c>
      <c r="C5" s="7" t="s">
        <v>197</v>
      </c>
      <c r="D5" s="6" t="n">
        <f aca="false">COUNTIFS(Libreria!$F$2:$F$79,A5,Libreria!$K$2:$K$79,"&lt;&gt;",Libreria!$X$2:$X$79,"&lt;&gt;OK")</f>
        <v>2</v>
      </c>
      <c r="E5" s="7"/>
    </row>
    <row r="6" customFormat="false" ht="23.85" hidden="false" customHeight="false" outlineLevel="0" collapsed="false">
      <c r="A6" s="7" t="s">
        <v>217</v>
      </c>
      <c r="B6" s="6" t="n">
        <f aca="false">COUNTIF(Libreria!$F$2:$F$79,A6)</f>
        <v>4</v>
      </c>
      <c r="C6" s="7" t="s">
        <v>218</v>
      </c>
      <c r="D6" s="6" t="n">
        <f aca="false">COUNTIFS(Libreria!$F$2:$F$79,A6,Libreria!$K$2:$K$79,"&lt;&gt;",Libreria!$X$2:$X$79,"&lt;&gt;OK")</f>
        <v>0</v>
      </c>
      <c r="E6" s="7" t="s">
        <v>508</v>
      </c>
    </row>
    <row r="7" customFormat="false" ht="23.85" hidden="false" customHeight="false" outlineLevel="0" collapsed="false">
      <c r="A7" s="7" t="s">
        <v>235</v>
      </c>
      <c r="B7" s="6" t="n">
        <f aca="false">COUNTIF(Libreria!$F$2:$F$79,A7)</f>
        <v>1</v>
      </c>
      <c r="C7" s="7" t="s">
        <v>236</v>
      </c>
      <c r="D7" s="6" t="n">
        <f aca="false">COUNTIFS(Libreria!$F$2:$F$79,A7,Libreria!$K$2:$K$79,"&lt;&gt;",Libreria!$X$2:$X$79,"&lt;&gt;OK")</f>
        <v>0</v>
      </c>
      <c r="E7" s="7" t="s">
        <v>509</v>
      </c>
    </row>
    <row r="8" customFormat="false" ht="15" hidden="false" customHeight="false" outlineLevel="0" collapsed="false">
      <c r="A8" s="7" t="s">
        <v>242</v>
      </c>
      <c r="B8" s="6" t="n">
        <f aca="false">COUNTIF(Libreria!$F$2:$F$79,A8)</f>
        <v>2</v>
      </c>
      <c r="C8" s="7" t="s">
        <v>243</v>
      </c>
      <c r="D8" s="6" t="n">
        <f aca="false">COUNTIFS(Libreria!$F$2:$F$79,A8,Libreria!$K$2:$K$79,"&lt;&gt;",Libreria!$X$2:$X$79,"&lt;&gt;OK")</f>
        <v>1</v>
      </c>
      <c r="E8" s="7"/>
    </row>
    <row r="9" customFormat="false" ht="23.85" hidden="false" customHeight="false" outlineLevel="0" collapsed="false">
      <c r="A9" s="7" t="s">
        <v>249</v>
      </c>
      <c r="B9" s="6" t="n">
        <f aca="false">COUNTIF(Libreria!$F$2:$F$79,A9)</f>
        <v>2</v>
      </c>
      <c r="C9" s="7" t="s">
        <v>250</v>
      </c>
      <c r="D9" s="6" t="n">
        <f aca="false">COUNTIFS(Libreria!$F$2:$F$79,A9,Libreria!$K$2:$K$79,"&lt;&gt;",Libreria!$X$2:$X$79,"&lt;&gt;OK")</f>
        <v>2</v>
      </c>
      <c r="E9" s="7" t="s">
        <v>510</v>
      </c>
    </row>
    <row r="10" customFormat="false" ht="15" hidden="false" customHeight="false" outlineLevel="0" collapsed="false">
      <c r="A10" s="7" t="s">
        <v>265</v>
      </c>
      <c r="B10" s="6" t="n">
        <f aca="false">COUNTIF(Libreria!$F$2:$F$79,A10)</f>
        <v>1</v>
      </c>
      <c r="C10" s="7" t="s">
        <v>266</v>
      </c>
      <c r="D10" s="6" t="n">
        <f aca="false">COUNTIFS(Libreria!$F$2:$F$79,A10,Libreria!$K$2:$K$79,"&lt;&gt;",Libreria!$X$2:$X$79,"&lt;&gt;OK")</f>
        <v>1</v>
      </c>
      <c r="E10" s="7"/>
    </row>
    <row r="11" customFormat="false" ht="23.85" hidden="false" customHeight="false" outlineLevel="0" collapsed="false">
      <c r="A11" s="7" t="s">
        <v>270</v>
      </c>
      <c r="B11" s="6" t="n">
        <f aca="false">COUNTIF(Libreria!$F$2:$F$79,A11)</f>
        <v>1</v>
      </c>
      <c r="C11" s="7" t="s">
        <v>271</v>
      </c>
      <c r="D11" s="6" t="n">
        <f aca="false">COUNTIFS(Libreria!$F$2:$F$79,A11,Libreria!$K$2:$K$79,"&lt;&gt;",Libreria!$X$2:$X$79,"&lt;&gt;OK")</f>
        <v>0</v>
      </c>
      <c r="E11" s="7" t="s">
        <v>509</v>
      </c>
    </row>
    <row r="12" customFormat="false" ht="15" hidden="false" customHeight="false" outlineLevel="0" collapsed="false">
      <c r="A12" s="7" t="s">
        <v>286</v>
      </c>
      <c r="B12" s="6" t="n">
        <f aca="false">COUNTIF(Libreria!$F$2:$F$79,A12)</f>
        <v>3</v>
      </c>
      <c r="C12" s="7" t="s">
        <v>287</v>
      </c>
      <c r="D12" s="6" t="n">
        <f aca="false">COUNTIFS(Libreria!$F$2:$F$79,A12,Libreria!$K$2:$K$79,"&lt;&gt;",Libreria!$X$2:$X$79,"&lt;&gt;OK")</f>
        <v>1</v>
      </c>
      <c r="E12" s="7"/>
    </row>
    <row r="13" customFormat="false" ht="15" hidden="false" customHeight="false" outlineLevel="0" collapsed="false">
      <c r="A13" s="7" t="s">
        <v>351</v>
      </c>
      <c r="B13" s="6" t="n">
        <f aca="false">COUNTIF(Libreria!$F$2:$F$79,A13)</f>
        <v>3</v>
      </c>
      <c r="C13" s="7" t="s">
        <v>47</v>
      </c>
      <c r="D13" s="6" t="n">
        <f aca="false">COUNTIFS(Libreria!$F$2:$F$79,A13,Libreria!$K$2:$K$79,"&lt;&gt;",Libreria!$X$2:$X$79,"&lt;&gt;OK")</f>
        <v>2</v>
      </c>
      <c r="E13" s="7"/>
    </row>
    <row r="14" customFormat="false" ht="15" hidden="false" customHeight="false" outlineLevel="0" collapsed="false">
      <c r="A14" s="7" t="s">
        <v>364</v>
      </c>
      <c r="B14" s="6" t="n">
        <f aca="false">COUNTIF(Libreria!$F$2:$F$79,A14)</f>
        <v>1</v>
      </c>
      <c r="C14" s="7" t="s">
        <v>365</v>
      </c>
      <c r="D14" s="6" t="n">
        <f aca="false">COUNTIFS(Libreria!$F$2:$F$79,A14,Libreria!$K$2:$K$79,"&lt;&gt;",Libreria!$X$2:$X$79,"&lt;&gt;OK")</f>
        <v>0</v>
      </c>
      <c r="E14" s="7"/>
    </row>
    <row r="15" customFormat="false" ht="15" hidden="false" customHeight="false" outlineLevel="0" collapsed="false">
      <c r="A15" s="7" t="s">
        <v>467</v>
      </c>
      <c r="B15" s="6" t="n">
        <f aca="false">COUNTIF(Libreria!$F$2:$F$79,A15)</f>
        <v>8</v>
      </c>
      <c r="C15" s="7" t="s">
        <v>47</v>
      </c>
      <c r="D15" s="6" t="n">
        <f aca="false">COUNTIFS(Libreria!$F$2:$F$79,A15,Libreria!$K$2:$K$79,"&lt;&gt;",Libreria!$X$2:$X$79,"&lt;&gt;OK")</f>
        <v>0</v>
      </c>
      <c r="E15" s="7"/>
    </row>
    <row r="16" customFormat="false" ht="15" hidden="false" customHeight="false" outlineLevel="0" collapsed="false">
      <c r="A16" s="9" t="s">
        <v>511</v>
      </c>
      <c r="B16" s="10" t="n">
        <f aca="false">SUM(B2:B15)</f>
        <v>78</v>
      </c>
      <c r="C16" s="9"/>
      <c r="D16" s="10" t="n">
        <f aca="false">SUM(D2:D15)</f>
        <v>13</v>
      </c>
      <c r="E16" s="9"/>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6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1"/>
    <col collapsed="false" customWidth="true" hidden="false" outlineLevel="0" max="2" min="2" style="0" width="44"/>
    <col collapsed="false" customWidth="true" hidden="false" outlineLevel="0" max="3" min="3" style="0" width="12"/>
    <col collapsed="false" customWidth="true" hidden="false" outlineLevel="0" max="4" min="4" style="0" width="20"/>
    <col collapsed="false" customWidth="true" hidden="false" outlineLevel="0" max="5" min="5" style="0" width="13"/>
    <col collapsed="false" customWidth="true" hidden="false" outlineLevel="0" max="6" min="6" style="0" width="62"/>
    <col collapsed="false" customWidth="true" hidden="false" outlineLevel="0" max="7" min="7" style="0" width="58"/>
  </cols>
  <sheetData>
    <row r="1" customFormat="false" ht="42" hidden="false" customHeight="true" outlineLevel="0" collapsed="false">
      <c r="A1" s="5" t="s">
        <v>512</v>
      </c>
      <c r="B1" s="5" t="s">
        <v>513</v>
      </c>
      <c r="C1" s="5" t="s">
        <v>514</v>
      </c>
      <c r="D1" s="5" t="s">
        <v>515</v>
      </c>
      <c r="E1" s="5" t="s">
        <v>516</v>
      </c>
      <c r="F1" s="5" t="s">
        <v>517</v>
      </c>
      <c r="G1" s="5" t="s">
        <v>518</v>
      </c>
    </row>
    <row r="2" customFormat="false" ht="18" hidden="false" customHeight="true" outlineLevel="0" collapsed="false">
      <c r="A2" s="6" t="s">
        <v>42</v>
      </c>
      <c r="B2" s="7" t="s">
        <v>43</v>
      </c>
      <c r="C2" s="6" t="n">
        <f aca="false">COUNTIF(Libreria!$B$2:$B$79,"1.1.1")</f>
        <v>1</v>
      </c>
      <c r="D2" s="6" t="str">
        <f aca="false">IF(C2&gt;0,"Trattato",IF(A2="—","Requisito nuovo","Non trattato"))</f>
        <v>Trattato</v>
      </c>
      <c r="E2" s="6" t="s">
        <v>42</v>
      </c>
      <c r="F2" s="7" t="s">
        <v>519</v>
      </c>
      <c r="G2" s="7"/>
    </row>
    <row r="3" customFormat="false" ht="57.75" hidden="false" customHeight="true" outlineLevel="0" collapsed="false">
      <c r="A3" s="6" t="s">
        <v>54</v>
      </c>
      <c r="B3" s="7" t="s">
        <v>55</v>
      </c>
      <c r="C3" s="6" t="n">
        <f aca="false">COUNTIF(Libreria!$B$2:$B$79,"1.1.2")</f>
        <v>1</v>
      </c>
      <c r="D3" s="6" t="str">
        <f aca="false">IF(C3&gt;0,"Trattato",IF(A3="—","Requisito nuovo","Non trattato"))</f>
        <v>Trattato</v>
      </c>
      <c r="E3" s="6" t="s">
        <v>54</v>
      </c>
      <c r="F3" s="7" t="s">
        <v>520</v>
      </c>
      <c r="G3" s="7" t="s">
        <v>521</v>
      </c>
    </row>
    <row r="4" customFormat="false" ht="18" hidden="false" customHeight="true" outlineLevel="0" collapsed="false">
      <c r="A4" s="6" t="s">
        <v>58</v>
      </c>
      <c r="B4" s="7" t="s">
        <v>59</v>
      </c>
      <c r="C4" s="6" t="n">
        <f aca="false">COUNTIF(Libreria!$B$2:$B$79,"1.1.3")</f>
        <v>2</v>
      </c>
      <c r="D4" s="6" t="str">
        <f aca="false">IF(C4&gt;0,"Trattato",IF(A4="—","Requisito nuovo","Non trattato"))</f>
        <v>Trattato</v>
      </c>
      <c r="E4" s="6" t="s">
        <v>58</v>
      </c>
      <c r="F4" s="7" t="s">
        <v>519</v>
      </c>
      <c r="G4" s="7"/>
    </row>
    <row r="5" customFormat="false" ht="18" hidden="false" customHeight="true" outlineLevel="0" collapsed="false">
      <c r="A5" s="6" t="s">
        <v>76</v>
      </c>
      <c r="B5" s="7" t="s">
        <v>77</v>
      </c>
      <c r="C5" s="6" t="n">
        <f aca="false">COUNTIF(Libreria!$B$2:$B$79,"1.1.4")</f>
        <v>1</v>
      </c>
      <c r="D5" s="6" t="str">
        <f aca="false">IF(C5&gt;0,"Trattato",IF(A5="—","Requisito nuovo","Non trattato"))</f>
        <v>Trattato</v>
      </c>
      <c r="E5" s="6" t="s">
        <v>76</v>
      </c>
      <c r="F5" s="7" t="s">
        <v>519</v>
      </c>
      <c r="G5" s="7"/>
    </row>
    <row r="6" customFormat="false" ht="18" hidden="false" customHeight="true" outlineLevel="0" collapsed="false">
      <c r="A6" s="6" t="s">
        <v>85</v>
      </c>
      <c r="B6" s="7" t="s">
        <v>86</v>
      </c>
      <c r="C6" s="6" t="n">
        <f aca="false">COUNTIF(Libreria!$B$2:$B$79,"1.1.5")</f>
        <v>1</v>
      </c>
      <c r="D6" s="6" t="str">
        <f aca="false">IF(C6&gt;0,"Trattato",IF(A6="—","Requisito nuovo","Non trattato"))</f>
        <v>Trattato</v>
      </c>
      <c r="E6" s="6" t="s">
        <v>85</v>
      </c>
      <c r="F6" s="7" t="s">
        <v>519</v>
      </c>
      <c r="G6" s="7"/>
    </row>
    <row r="7" customFormat="false" ht="57.75" hidden="false" customHeight="true" outlineLevel="0" collapsed="false">
      <c r="A7" s="6" t="s">
        <v>94</v>
      </c>
      <c r="B7" s="7" t="s">
        <v>95</v>
      </c>
      <c r="C7" s="6" t="n">
        <f aca="false">COUNTIF(Libreria!$B$2:$B$79,"1.1.6")</f>
        <v>1</v>
      </c>
      <c r="D7" s="6" t="str">
        <f aca="false">IF(C7&gt;0,"Trattato",IF(A7="—","Requisito nuovo","Non trattato"))</f>
        <v>Trattato</v>
      </c>
      <c r="E7" s="6" t="s">
        <v>94</v>
      </c>
      <c r="F7" s="7" t="s">
        <v>522</v>
      </c>
      <c r="G7" s="7" t="s">
        <v>523</v>
      </c>
    </row>
    <row r="8" customFormat="false" ht="57.75" hidden="false" customHeight="true" outlineLevel="0" collapsed="false">
      <c r="A8" s="6" t="s">
        <v>524</v>
      </c>
      <c r="B8" s="7" t="s">
        <v>525</v>
      </c>
      <c r="C8" s="6" t="n">
        <f aca="false">COUNTIF(Libreria!$B$2:$B$79,"1.1.7")</f>
        <v>0</v>
      </c>
      <c r="D8" s="6" t="str">
        <f aca="false">IF(C8&gt;0,"Trattato",IF(A8="—","Requisito nuovo","Non trattato"))</f>
        <v>Non trattato</v>
      </c>
      <c r="E8" s="6" t="s">
        <v>524</v>
      </c>
      <c r="F8" s="7" t="s">
        <v>519</v>
      </c>
      <c r="G8" s="7" t="s">
        <v>526</v>
      </c>
    </row>
    <row r="9" customFormat="false" ht="57.75" hidden="false" customHeight="true" outlineLevel="0" collapsed="false">
      <c r="A9" s="6" t="s">
        <v>527</v>
      </c>
      <c r="B9" s="7" t="s">
        <v>528</v>
      </c>
      <c r="C9" s="6" t="n">
        <f aca="false">COUNTIF(Libreria!$B$2:$B$79,"1.1.8")</f>
        <v>0</v>
      </c>
      <c r="D9" s="6" t="str">
        <f aca="false">IF(C9&gt;0,"Trattato",IF(A9="—","Requisito nuovo","Non trattato"))</f>
        <v>Non trattato</v>
      </c>
      <c r="E9" s="6" t="s">
        <v>527</v>
      </c>
      <c r="F9" s="7" t="s">
        <v>519</v>
      </c>
      <c r="G9" s="7" t="s">
        <v>529</v>
      </c>
    </row>
    <row r="10" customFormat="false" ht="57.75" hidden="false" customHeight="true" outlineLevel="0" collapsed="false">
      <c r="A10" s="6" t="s">
        <v>530</v>
      </c>
      <c r="B10" s="7" t="s">
        <v>531</v>
      </c>
      <c r="C10" s="6" t="n">
        <f aca="false">COUNTIF(Libreria!$B$2:$B$79,"1.1.9")</f>
        <v>0</v>
      </c>
      <c r="D10" s="6" t="str">
        <f aca="false">IF(C10&gt;0,"Trattato",IF(A10="—","Requisito nuovo","Non trattato"))</f>
        <v>Requisito nuovo</v>
      </c>
      <c r="E10" s="6" t="s">
        <v>532</v>
      </c>
      <c r="F10" s="7" t="s">
        <v>533</v>
      </c>
      <c r="G10" s="7" t="s">
        <v>534</v>
      </c>
    </row>
    <row r="11" customFormat="false" ht="57.75" hidden="false" customHeight="true" outlineLevel="0" collapsed="false">
      <c r="A11" s="6" t="s">
        <v>103</v>
      </c>
      <c r="B11" s="7" t="s">
        <v>104</v>
      </c>
      <c r="C11" s="6" t="n">
        <f aca="false">COUNTIF(Libreria!$B$2:$B$79,"1.2.1")</f>
        <v>1</v>
      </c>
      <c r="D11" s="6" t="str">
        <f aca="false">IF(C11&gt;0,"Trattato",IF(A11="—","Requisito nuovo","Non trattato"))</f>
        <v>Trattato</v>
      </c>
      <c r="E11" s="6" t="s">
        <v>103</v>
      </c>
      <c r="F11" s="7" t="s">
        <v>535</v>
      </c>
      <c r="G11" s="7" t="s">
        <v>536</v>
      </c>
    </row>
    <row r="12" customFormat="false" ht="18" hidden="false" customHeight="true" outlineLevel="0" collapsed="false">
      <c r="A12" s="6" t="s">
        <v>112</v>
      </c>
      <c r="B12" s="7" t="s">
        <v>113</v>
      </c>
      <c r="C12" s="6" t="n">
        <f aca="false">COUNTIF(Libreria!$B$2:$B$79,"1.2.2")</f>
        <v>1</v>
      </c>
      <c r="D12" s="6" t="str">
        <f aca="false">IF(C12&gt;0,"Trattato",IF(A12="—","Requisito nuovo","Non trattato"))</f>
        <v>Trattato</v>
      </c>
      <c r="E12" s="6" t="s">
        <v>112</v>
      </c>
      <c r="F12" s="7" t="s">
        <v>519</v>
      </c>
      <c r="G12" s="7"/>
    </row>
    <row r="13" customFormat="false" ht="18" hidden="false" customHeight="true" outlineLevel="0" collapsed="false">
      <c r="A13" s="6" t="s">
        <v>121</v>
      </c>
      <c r="B13" s="7" t="s">
        <v>122</v>
      </c>
      <c r="C13" s="6" t="n">
        <f aca="false">COUNTIF(Libreria!$B$2:$B$79,"1.2.3")</f>
        <v>3</v>
      </c>
      <c r="D13" s="6" t="str">
        <f aca="false">IF(C13&gt;0,"Trattato",IF(A13="—","Requisito nuovo","Non trattato"))</f>
        <v>Trattato</v>
      </c>
      <c r="E13" s="6" t="s">
        <v>121</v>
      </c>
      <c r="F13" s="7" t="s">
        <v>519</v>
      </c>
      <c r="G13" s="7"/>
    </row>
    <row r="14" customFormat="false" ht="18" hidden="false" customHeight="true" outlineLevel="0" collapsed="false">
      <c r="A14" s="6" t="s">
        <v>136</v>
      </c>
      <c r="B14" s="7" t="s">
        <v>137</v>
      </c>
      <c r="C14" s="6" t="n">
        <f aca="false">COUNTIF(Libreria!$B$2:$B$79,"1.2.4.1")</f>
        <v>3</v>
      </c>
      <c r="D14" s="6" t="str">
        <f aca="false">IF(C14&gt;0,"Trattato",IF(A14="—","Requisito nuovo","Non trattato"))</f>
        <v>Trattato</v>
      </c>
      <c r="E14" s="6" t="s">
        <v>136</v>
      </c>
      <c r="F14" s="7" t="s">
        <v>519</v>
      </c>
      <c r="G14" s="7"/>
    </row>
    <row r="15" customFormat="false" ht="57.75" hidden="false" customHeight="true" outlineLevel="0" collapsed="false">
      <c r="A15" s="6" t="s">
        <v>537</v>
      </c>
      <c r="B15" s="7" t="s">
        <v>538</v>
      </c>
      <c r="C15" s="6" t="n">
        <f aca="false">COUNTIF(Libreria!$B$2:$B$79,"1.2.4.2")</f>
        <v>0</v>
      </c>
      <c r="D15" s="6" t="str">
        <f aca="false">IF(C15&gt;0,"Trattato",IF(A15="—","Requisito nuovo","Non trattato"))</f>
        <v>Non trattato</v>
      </c>
      <c r="E15" s="6" t="s">
        <v>537</v>
      </c>
      <c r="F15" s="7" t="s">
        <v>519</v>
      </c>
      <c r="G15" s="7" t="s">
        <v>539</v>
      </c>
    </row>
    <row r="16" customFormat="false" ht="18" hidden="false" customHeight="true" outlineLevel="0" collapsed="false">
      <c r="A16" s="6" t="s">
        <v>147</v>
      </c>
      <c r="B16" s="7" t="s">
        <v>148</v>
      </c>
      <c r="C16" s="6" t="n">
        <f aca="false">COUNTIF(Libreria!$B$2:$B$79,"1.2.4.3")</f>
        <v>3</v>
      </c>
      <c r="D16" s="6" t="str">
        <f aca="false">IF(C16&gt;0,"Trattato",IF(A16="—","Requisito nuovo","Non trattato"))</f>
        <v>Trattato</v>
      </c>
      <c r="E16" s="6" t="s">
        <v>147</v>
      </c>
      <c r="F16" s="7" t="s">
        <v>519</v>
      </c>
      <c r="G16" s="7"/>
    </row>
    <row r="17" customFormat="false" ht="57.75" hidden="false" customHeight="true" outlineLevel="0" collapsed="false">
      <c r="A17" s="6" t="s">
        <v>540</v>
      </c>
      <c r="B17" s="7" t="s">
        <v>541</v>
      </c>
      <c r="C17" s="6" t="n">
        <f aca="false">COUNTIF(Libreria!$B$2:$B$79,"1.2.4.4")</f>
        <v>0</v>
      </c>
      <c r="D17" s="6" t="str">
        <f aca="false">IF(C17&gt;0,"Trattato",IF(A17="—","Requisito nuovo","Non trattato"))</f>
        <v>Non trattato</v>
      </c>
      <c r="E17" s="6" t="s">
        <v>540</v>
      </c>
      <c r="F17" s="7" t="s">
        <v>519</v>
      </c>
      <c r="G17" s="7" t="s">
        <v>542</v>
      </c>
    </row>
    <row r="18" customFormat="false" ht="18" hidden="false" customHeight="true" outlineLevel="0" collapsed="false">
      <c r="A18" s="6" t="s">
        <v>159</v>
      </c>
      <c r="B18" s="7" t="s">
        <v>160</v>
      </c>
      <c r="C18" s="6" t="n">
        <f aca="false">COUNTIF(Libreria!$B$2:$B$79,"1.2.5")</f>
        <v>3</v>
      </c>
      <c r="D18" s="6" t="str">
        <f aca="false">IF(C18&gt;0,"Trattato",IF(A18="—","Requisito nuovo","Non trattato"))</f>
        <v>Trattato</v>
      </c>
      <c r="E18" s="6" t="s">
        <v>159</v>
      </c>
      <c r="F18" s="7" t="s">
        <v>519</v>
      </c>
      <c r="G18" s="7"/>
    </row>
    <row r="19" customFormat="false" ht="18" hidden="false" customHeight="true" outlineLevel="0" collapsed="false">
      <c r="A19" s="6" t="s">
        <v>173</v>
      </c>
      <c r="B19" s="7" t="s">
        <v>174</v>
      </c>
      <c r="C19" s="6" t="n">
        <f aca="false">COUNTIF(Libreria!$B$2:$B$79,"1.2.6")</f>
        <v>1</v>
      </c>
      <c r="D19" s="6" t="str">
        <f aca="false">IF(C19&gt;0,"Trattato",IF(A19="—","Requisito nuovo","Non trattato"))</f>
        <v>Trattato</v>
      </c>
      <c r="E19" s="6" t="s">
        <v>173</v>
      </c>
      <c r="F19" s="7" t="s">
        <v>519</v>
      </c>
      <c r="G19" s="7"/>
    </row>
    <row r="20" customFormat="false" ht="18" hidden="false" customHeight="true" outlineLevel="0" collapsed="false">
      <c r="A20" s="6" t="s">
        <v>179</v>
      </c>
      <c r="B20" s="7" t="s">
        <v>180</v>
      </c>
      <c r="C20" s="6" t="n">
        <f aca="false">COUNTIF(Libreria!$B$2:$B$79,"1.3.1")</f>
        <v>1</v>
      </c>
      <c r="D20" s="6" t="str">
        <f aca="false">IF(C20&gt;0,"Trattato",IF(A20="—","Requisito nuovo","Non trattato"))</f>
        <v>Trattato</v>
      </c>
      <c r="E20" s="6" t="s">
        <v>179</v>
      </c>
      <c r="F20" s="7" t="s">
        <v>519</v>
      </c>
      <c r="G20" s="7"/>
    </row>
    <row r="21" customFormat="false" ht="18" hidden="false" customHeight="true" outlineLevel="0" collapsed="false">
      <c r="A21" s="6" t="s">
        <v>187</v>
      </c>
      <c r="B21" s="7" t="s">
        <v>188</v>
      </c>
      <c r="C21" s="6" t="n">
        <f aca="false">COUNTIF(Libreria!$B$2:$B$79,"1.3.2")</f>
        <v>1</v>
      </c>
      <c r="D21" s="6" t="str">
        <f aca="false">IF(C21&gt;0,"Trattato",IF(A21="—","Requisito nuovo","Non trattato"))</f>
        <v>Trattato</v>
      </c>
      <c r="E21" s="6" t="s">
        <v>187</v>
      </c>
      <c r="F21" s="7" t="s">
        <v>519</v>
      </c>
      <c r="G21" s="7"/>
    </row>
    <row r="22" customFormat="false" ht="18" hidden="false" customHeight="true" outlineLevel="0" collapsed="false">
      <c r="A22" s="6" t="s">
        <v>194</v>
      </c>
      <c r="B22" s="7" t="s">
        <v>195</v>
      </c>
      <c r="C22" s="6" t="n">
        <f aca="false">COUNTIF(Libreria!$B$2:$B$79,"1.3.3")</f>
        <v>4</v>
      </c>
      <c r="D22" s="6" t="str">
        <f aca="false">IF(C22&gt;0,"Trattato",IF(A22="—","Requisito nuovo","Non trattato"))</f>
        <v>Trattato</v>
      </c>
      <c r="E22" s="6" t="s">
        <v>194</v>
      </c>
      <c r="F22" s="7" t="s">
        <v>519</v>
      </c>
      <c r="G22" s="7"/>
    </row>
    <row r="23" customFormat="false" ht="18" hidden="false" customHeight="true" outlineLevel="0" collapsed="false">
      <c r="A23" s="6" t="s">
        <v>223</v>
      </c>
      <c r="B23" s="7" t="s">
        <v>224</v>
      </c>
      <c r="C23" s="6" t="n">
        <f aca="false">COUNTIF(Libreria!$B$2:$B$79,"1.3.4")</f>
        <v>1</v>
      </c>
      <c r="D23" s="6" t="str">
        <f aca="false">IF(C23&gt;0,"Trattato",IF(A23="—","Requisito nuovo","Non trattato"))</f>
        <v>Trattato</v>
      </c>
      <c r="E23" s="6" t="s">
        <v>223</v>
      </c>
      <c r="F23" s="7" t="s">
        <v>519</v>
      </c>
      <c r="G23" s="7"/>
    </row>
    <row r="24" customFormat="false" ht="57.75" hidden="false" customHeight="true" outlineLevel="0" collapsed="false">
      <c r="A24" s="6" t="s">
        <v>543</v>
      </c>
      <c r="B24" s="7" t="s">
        <v>544</v>
      </c>
      <c r="C24" s="6" t="n">
        <f aca="false">COUNTIF(Libreria!$B$2:$B$79,"1.3.5")</f>
        <v>0</v>
      </c>
      <c r="D24" s="6" t="str">
        <f aca="false">IF(C24&gt;0,"Trattato",IF(A24="—","Requisito nuovo","Non trattato"))</f>
        <v>Non trattato</v>
      </c>
      <c r="E24" s="6" t="s">
        <v>543</v>
      </c>
      <c r="F24" s="7" t="s">
        <v>519</v>
      </c>
      <c r="G24" s="7" t="s">
        <v>529</v>
      </c>
    </row>
    <row r="25" customFormat="false" ht="57.75" hidden="false" customHeight="true" outlineLevel="0" collapsed="false">
      <c r="A25" s="6" t="s">
        <v>545</v>
      </c>
      <c r="B25" s="7" t="s">
        <v>546</v>
      </c>
      <c r="C25" s="6" t="n">
        <f aca="false">COUNTIF(Libreria!$B$2:$B$79,"1.3.6")</f>
        <v>0</v>
      </c>
      <c r="D25" s="6" t="str">
        <f aca="false">IF(C25&gt;0,"Trattato",IF(A25="—","Requisito nuovo","Non trattato"))</f>
        <v>Non trattato</v>
      </c>
      <c r="E25" s="6" t="s">
        <v>545</v>
      </c>
      <c r="F25" s="7" t="s">
        <v>519</v>
      </c>
      <c r="G25" s="7" t="s">
        <v>547</v>
      </c>
    </row>
    <row r="26" customFormat="false" ht="57.75" hidden="false" customHeight="true" outlineLevel="0" collapsed="false">
      <c r="A26" s="6" t="s">
        <v>229</v>
      </c>
      <c r="B26" s="7" t="s">
        <v>230</v>
      </c>
      <c r="C26" s="6" t="n">
        <f aca="false">COUNTIF(Libreria!$B$2:$B$79,"1.3.7")</f>
        <v>11</v>
      </c>
      <c r="D26" s="6" t="str">
        <f aca="false">IF(C26&gt;0,"Trattato",IF(A26="—","Requisito nuovo","Non trattato"))</f>
        <v>Trattato</v>
      </c>
      <c r="E26" s="6" t="s">
        <v>229</v>
      </c>
      <c r="F26" s="7" t="s">
        <v>548</v>
      </c>
      <c r="G26" s="7" t="s">
        <v>549</v>
      </c>
    </row>
    <row r="27" customFormat="false" ht="18" hidden="false" customHeight="true" outlineLevel="0" collapsed="false">
      <c r="A27" s="6" t="s">
        <v>297</v>
      </c>
      <c r="B27" s="7" t="s">
        <v>298</v>
      </c>
      <c r="C27" s="6" t="n">
        <f aca="false">COUNTIF(Libreria!$B$2:$B$79,"1.3.8.1")</f>
        <v>1</v>
      </c>
      <c r="D27" s="6" t="str">
        <f aca="false">IF(C27&gt;0,"Trattato",IF(A27="—","Requisito nuovo","Non trattato"))</f>
        <v>Trattato</v>
      </c>
      <c r="E27" s="6" t="s">
        <v>297</v>
      </c>
      <c r="F27" s="7" t="s">
        <v>519</v>
      </c>
      <c r="G27" s="7"/>
    </row>
    <row r="28" customFormat="false" ht="18" hidden="false" customHeight="true" outlineLevel="0" collapsed="false">
      <c r="A28" s="6" t="s">
        <v>301</v>
      </c>
      <c r="B28" s="7" t="s">
        <v>302</v>
      </c>
      <c r="C28" s="6" t="n">
        <f aca="false">COUNTIF(Libreria!$B$2:$B$79,"1.3.8.2")</f>
        <v>1</v>
      </c>
      <c r="D28" s="6" t="str">
        <f aca="false">IF(C28&gt;0,"Trattato",IF(A28="—","Requisito nuovo","Non trattato"))</f>
        <v>Trattato</v>
      </c>
      <c r="E28" s="6" t="s">
        <v>301</v>
      </c>
      <c r="F28" s="7" t="s">
        <v>519</v>
      </c>
      <c r="G28" s="7"/>
    </row>
    <row r="29" customFormat="false" ht="18" hidden="false" customHeight="true" outlineLevel="0" collapsed="false">
      <c r="A29" s="6" t="s">
        <v>305</v>
      </c>
      <c r="B29" s="7" t="s">
        <v>306</v>
      </c>
      <c r="C29" s="6" t="n">
        <f aca="false">COUNTIF(Libreria!$B$2:$B$79,"1.3.9")</f>
        <v>1</v>
      </c>
      <c r="D29" s="6" t="str">
        <f aca="false">IF(C29&gt;0,"Trattato",IF(A29="—","Requisito nuovo","Non trattato"))</f>
        <v>Trattato</v>
      </c>
      <c r="E29" s="6" t="s">
        <v>305</v>
      </c>
      <c r="F29" s="7" t="s">
        <v>519</v>
      </c>
      <c r="G29" s="7"/>
    </row>
    <row r="30" customFormat="false" ht="18" hidden="false" customHeight="true" outlineLevel="0" collapsed="false">
      <c r="A30" s="6" t="s">
        <v>311</v>
      </c>
      <c r="B30" s="7" t="s">
        <v>550</v>
      </c>
      <c r="C30" s="6" t="n">
        <f aca="false">COUNTIF(Libreria!$B$2:$B$79,"1.4.1")</f>
        <v>5</v>
      </c>
      <c r="D30" s="6" t="str">
        <f aca="false">IF(C30&gt;0,"Trattato",IF(A30="—","Requisito nuovo","Non trattato"))</f>
        <v>Trattato</v>
      </c>
      <c r="E30" s="6" t="s">
        <v>311</v>
      </c>
      <c r="F30" s="7" t="s">
        <v>519</v>
      </c>
      <c r="G30" s="7"/>
    </row>
    <row r="31" customFormat="false" ht="18" hidden="false" customHeight="true" outlineLevel="0" collapsed="false">
      <c r="A31" s="6" t="s">
        <v>328</v>
      </c>
      <c r="B31" s="7" t="s">
        <v>329</v>
      </c>
      <c r="C31" s="6" t="n">
        <f aca="false">COUNTIF(Libreria!$B$2:$B$79,"1.4.2.1")</f>
        <v>1</v>
      </c>
      <c r="D31" s="6" t="str">
        <f aca="false">IF(C31&gt;0,"Trattato",IF(A31="—","Requisito nuovo","Non trattato"))</f>
        <v>Trattato</v>
      </c>
      <c r="E31" s="6" t="s">
        <v>328</v>
      </c>
      <c r="F31" s="7" t="s">
        <v>519</v>
      </c>
      <c r="G31" s="7"/>
    </row>
    <row r="32" customFormat="false" ht="18" hidden="false" customHeight="true" outlineLevel="0" collapsed="false">
      <c r="A32" s="6" t="s">
        <v>333</v>
      </c>
      <c r="B32" s="7" t="s">
        <v>334</v>
      </c>
      <c r="C32" s="6" t="n">
        <f aca="false">COUNTIF(Libreria!$B$2:$B$79,"1.4.2.2")</f>
        <v>3</v>
      </c>
      <c r="D32" s="6" t="str">
        <f aca="false">IF(C32&gt;0,"Trattato",IF(A32="—","Requisito nuovo","Non trattato"))</f>
        <v>Trattato</v>
      </c>
      <c r="E32" s="6" t="s">
        <v>333</v>
      </c>
      <c r="F32" s="7" t="s">
        <v>519</v>
      </c>
      <c r="G32" s="7"/>
    </row>
    <row r="33" customFormat="false" ht="57.75" hidden="false" customHeight="true" outlineLevel="0" collapsed="false">
      <c r="A33" s="6" t="s">
        <v>551</v>
      </c>
      <c r="B33" s="7" t="s">
        <v>552</v>
      </c>
      <c r="C33" s="6" t="n">
        <f aca="false">COUNTIF(Libreria!$B$2:$B$79,"1.4.2.3")</f>
        <v>0</v>
      </c>
      <c r="D33" s="6" t="str">
        <f aca="false">IF(C33&gt;0,"Trattato",IF(A33="—","Requisito nuovo","Non trattato"))</f>
        <v>Non trattato</v>
      </c>
      <c r="E33" s="6" t="s">
        <v>551</v>
      </c>
      <c r="F33" s="7" t="s">
        <v>519</v>
      </c>
      <c r="G33" s="7" t="s">
        <v>529</v>
      </c>
    </row>
    <row r="34" customFormat="false" ht="18" hidden="false" customHeight="true" outlineLevel="0" collapsed="false">
      <c r="A34" s="6" t="s">
        <v>343</v>
      </c>
      <c r="B34" s="7" t="s">
        <v>344</v>
      </c>
      <c r="C34" s="6" t="n">
        <f aca="false">COUNTIF(Libreria!$B$2:$B$79,"1.4.3")</f>
        <v>1</v>
      </c>
      <c r="D34" s="6" t="str">
        <f aca="false">IF(C34&gt;0,"Trattato",IF(A34="—","Requisito nuovo","Non trattato"))</f>
        <v>Trattato</v>
      </c>
      <c r="E34" s="6" t="s">
        <v>343</v>
      </c>
      <c r="F34" s="7" t="s">
        <v>519</v>
      </c>
      <c r="G34" s="7"/>
    </row>
    <row r="35" customFormat="false" ht="18" hidden="false" customHeight="true" outlineLevel="0" collapsed="false">
      <c r="A35" s="6" t="s">
        <v>349</v>
      </c>
      <c r="B35" s="7" t="s">
        <v>350</v>
      </c>
      <c r="C35" s="6" t="n">
        <f aca="false">COUNTIF(Libreria!$B$2:$B$79,"1.5.1")</f>
        <v>1</v>
      </c>
      <c r="D35" s="6" t="str">
        <f aca="false">IF(C35&gt;0,"Trattato",IF(A35="—","Requisito nuovo","Non trattato"))</f>
        <v>Trattato</v>
      </c>
      <c r="E35" s="6" t="s">
        <v>349</v>
      </c>
      <c r="F35" s="7" t="s">
        <v>519</v>
      </c>
      <c r="G35" s="7"/>
    </row>
    <row r="36" customFormat="false" ht="18" hidden="false" customHeight="true" outlineLevel="0" collapsed="false">
      <c r="A36" s="6" t="s">
        <v>357</v>
      </c>
      <c r="B36" s="7" t="s">
        <v>358</v>
      </c>
      <c r="C36" s="6" t="n">
        <f aca="false">COUNTIF(Libreria!$B$2:$B$79,"1.5.2")</f>
        <v>1</v>
      </c>
      <c r="D36" s="6" t="str">
        <f aca="false">IF(C36&gt;0,"Trattato",IF(A36="—","Requisito nuovo","Non trattato"))</f>
        <v>Trattato</v>
      </c>
      <c r="E36" s="6" t="s">
        <v>357</v>
      </c>
      <c r="F36" s="7" t="s">
        <v>519</v>
      </c>
      <c r="G36" s="7"/>
    </row>
    <row r="37" customFormat="false" ht="18" hidden="false" customHeight="true" outlineLevel="0" collapsed="false">
      <c r="A37" s="6" t="s">
        <v>362</v>
      </c>
      <c r="B37" s="7" t="s">
        <v>363</v>
      </c>
      <c r="C37" s="6" t="n">
        <f aca="false">COUNTIF(Libreria!$B$2:$B$79,"1.5.3")</f>
        <v>1</v>
      </c>
      <c r="D37" s="6" t="str">
        <f aca="false">IF(C37&gt;0,"Trattato",IF(A37="—","Requisito nuovo","Non trattato"))</f>
        <v>Trattato</v>
      </c>
      <c r="E37" s="6" t="s">
        <v>362</v>
      </c>
      <c r="F37" s="7" t="s">
        <v>519</v>
      </c>
      <c r="G37" s="7"/>
    </row>
    <row r="38" customFormat="false" ht="18" hidden="false" customHeight="true" outlineLevel="0" collapsed="false">
      <c r="A38" s="6" t="s">
        <v>371</v>
      </c>
      <c r="B38" s="7" t="s">
        <v>372</v>
      </c>
      <c r="C38" s="6" t="n">
        <f aca="false">COUNTIF(Libreria!$B$2:$B$79,"1.5.4")</f>
        <v>1</v>
      </c>
      <c r="D38" s="6" t="str">
        <f aca="false">IF(C38&gt;0,"Trattato",IF(A38="—","Requisito nuovo","Non trattato"))</f>
        <v>Trattato</v>
      </c>
      <c r="E38" s="6" t="s">
        <v>371</v>
      </c>
      <c r="F38" s="7" t="s">
        <v>519</v>
      </c>
      <c r="G38" s="7"/>
    </row>
    <row r="39" customFormat="false" ht="18" hidden="false" customHeight="true" outlineLevel="0" collapsed="false">
      <c r="A39" s="6" t="s">
        <v>377</v>
      </c>
      <c r="B39" s="7" t="s">
        <v>378</v>
      </c>
      <c r="C39" s="6" t="n">
        <f aca="false">COUNTIF(Libreria!$B$2:$B$79,"1.5.5")</f>
        <v>2</v>
      </c>
      <c r="D39" s="6" t="str">
        <f aca="false">IF(C39&gt;0,"Trattato",IF(A39="—","Requisito nuovo","Non trattato"))</f>
        <v>Trattato</v>
      </c>
      <c r="E39" s="6" t="s">
        <v>377</v>
      </c>
      <c r="F39" s="7" t="s">
        <v>519</v>
      </c>
      <c r="G39" s="7"/>
    </row>
    <row r="40" customFormat="false" ht="57.75" hidden="false" customHeight="true" outlineLevel="0" collapsed="false">
      <c r="A40" s="6" t="s">
        <v>390</v>
      </c>
      <c r="B40" s="7" t="s">
        <v>391</v>
      </c>
      <c r="C40" s="6" t="n">
        <f aca="false">COUNTIF(Libreria!$B$2:$B$79,"1.5.6")</f>
        <v>2</v>
      </c>
      <c r="D40" s="6" t="str">
        <f aca="false">IF(C40&gt;0,"Trattato",IF(A40="—","Requisito nuovo","Non trattato"))</f>
        <v>Trattato</v>
      </c>
      <c r="E40" s="6" t="s">
        <v>390</v>
      </c>
      <c r="F40" s="7" t="s">
        <v>519</v>
      </c>
      <c r="G40" s="7" t="s">
        <v>553</v>
      </c>
    </row>
    <row r="41" customFormat="false" ht="57.75" hidden="false" customHeight="true" outlineLevel="0" collapsed="false">
      <c r="A41" s="6" t="s">
        <v>554</v>
      </c>
      <c r="B41" s="7" t="s">
        <v>555</v>
      </c>
      <c r="C41" s="6" t="n">
        <f aca="false">COUNTIF(Libreria!$B$2:$B$79,"1.5.7")</f>
        <v>0</v>
      </c>
      <c r="D41" s="6" t="str">
        <f aca="false">IF(C41&gt;0,"Trattato",IF(A41="—","Requisito nuovo","Non trattato"))</f>
        <v>Non trattato</v>
      </c>
      <c r="E41" s="6" t="s">
        <v>554</v>
      </c>
      <c r="F41" s="7" t="s">
        <v>519</v>
      </c>
      <c r="G41" s="7" t="s">
        <v>556</v>
      </c>
    </row>
    <row r="42" customFormat="false" ht="18" hidden="false" customHeight="true" outlineLevel="0" collapsed="false">
      <c r="A42" s="6" t="s">
        <v>403</v>
      </c>
      <c r="B42" s="7" t="s">
        <v>404</v>
      </c>
      <c r="C42" s="6" t="n">
        <f aca="false">COUNTIF(Libreria!$B$2:$B$79,"1.5.8")</f>
        <v>1</v>
      </c>
      <c r="D42" s="6" t="str">
        <f aca="false">IF(C42&gt;0,"Trattato",IF(A42="—","Requisito nuovo","Non trattato"))</f>
        <v>Trattato</v>
      </c>
      <c r="E42" s="6" t="s">
        <v>403</v>
      </c>
      <c r="F42" s="7" t="s">
        <v>519</v>
      </c>
      <c r="G42" s="7"/>
    </row>
    <row r="43" customFormat="false" ht="57.75" hidden="false" customHeight="true" outlineLevel="0" collapsed="false">
      <c r="A43" s="6" t="s">
        <v>557</v>
      </c>
      <c r="B43" s="7" t="s">
        <v>558</v>
      </c>
      <c r="C43" s="6" t="n">
        <f aca="false">COUNTIF(Libreria!$B$2:$B$79,"1.5.9")</f>
        <v>0</v>
      </c>
      <c r="D43" s="6" t="str">
        <f aca="false">IF(C43&gt;0,"Trattato",IF(A43="—","Requisito nuovo","Non trattato"))</f>
        <v>Non trattato</v>
      </c>
      <c r="E43" s="6" t="s">
        <v>557</v>
      </c>
      <c r="F43" s="7" t="s">
        <v>519</v>
      </c>
      <c r="G43" s="7" t="s">
        <v>559</v>
      </c>
    </row>
    <row r="44" customFormat="false" ht="57.75" hidden="false" customHeight="true" outlineLevel="0" collapsed="false">
      <c r="A44" s="6" t="s">
        <v>560</v>
      </c>
      <c r="B44" s="7" t="s">
        <v>561</v>
      </c>
      <c r="C44" s="6" t="n">
        <f aca="false">COUNTIF(Libreria!$B$2:$B$79,"1.5.10")</f>
        <v>0</v>
      </c>
      <c r="D44" s="6" t="str">
        <f aca="false">IF(C44&gt;0,"Trattato",IF(A44="—","Requisito nuovo","Non trattato"))</f>
        <v>Non trattato</v>
      </c>
      <c r="E44" s="6" t="s">
        <v>560</v>
      </c>
      <c r="F44" s="7" t="s">
        <v>519</v>
      </c>
      <c r="G44" s="7" t="s">
        <v>529</v>
      </c>
    </row>
    <row r="45" customFormat="false" ht="18" hidden="false" customHeight="true" outlineLevel="0" collapsed="false">
      <c r="A45" s="6" t="s">
        <v>409</v>
      </c>
      <c r="B45" s="7" t="s">
        <v>562</v>
      </c>
      <c r="C45" s="6" t="n">
        <f aca="false">COUNTIF(Libreria!$B$2:$B$79,"1.5.11")</f>
        <v>1</v>
      </c>
      <c r="D45" s="6" t="str">
        <f aca="false">IF(C45&gt;0,"Trattato",IF(A45="—","Requisito nuovo","Non trattato"))</f>
        <v>Trattato</v>
      </c>
      <c r="E45" s="6" t="s">
        <v>409</v>
      </c>
      <c r="F45" s="7" t="s">
        <v>519</v>
      </c>
      <c r="G45" s="7"/>
    </row>
    <row r="46" customFormat="false" ht="57.75" hidden="false" customHeight="true" outlineLevel="0" collapsed="false">
      <c r="A46" s="6" t="s">
        <v>563</v>
      </c>
      <c r="B46" s="7" t="s">
        <v>564</v>
      </c>
      <c r="C46" s="6" t="n">
        <f aca="false">COUNTIF(Libreria!$B$2:$B$79,"1.5.12")</f>
        <v>0</v>
      </c>
      <c r="D46" s="6" t="str">
        <f aca="false">IF(C46&gt;0,"Trattato",IF(A46="—","Requisito nuovo","Non trattato"))</f>
        <v>Non trattato</v>
      </c>
      <c r="E46" s="6" t="s">
        <v>563</v>
      </c>
      <c r="F46" s="7" t="s">
        <v>519</v>
      </c>
      <c r="G46" s="7" t="s">
        <v>529</v>
      </c>
    </row>
    <row r="47" customFormat="false" ht="57.75" hidden="false" customHeight="true" outlineLevel="0" collapsed="false">
      <c r="A47" s="6" t="s">
        <v>416</v>
      </c>
      <c r="B47" s="7" t="s">
        <v>417</v>
      </c>
      <c r="C47" s="6" t="n">
        <f aca="false">COUNTIF(Libreria!$B$2:$B$79,"1.5.13")</f>
        <v>1</v>
      </c>
      <c r="D47" s="6" t="str">
        <f aca="false">IF(C47&gt;0,"Trattato",IF(A47="—","Requisito nuovo","Non trattato"))</f>
        <v>Trattato</v>
      </c>
      <c r="E47" s="6" t="s">
        <v>416</v>
      </c>
      <c r="F47" s="7" t="s">
        <v>519</v>
      </c>
      <c r="G47" s="7" t="s">
        <v>565</v>
      </c>
    </row>
    <row r="48" customFormat="false" ht="18" hidden="false" customHeight="true" outlineLevel="0" collapsed="false">
      <c r="A48" s="6" t="s">
        <v>424</v>
      </c>
      <c r="B48" s="7" t="s">
        <v>425</v>
      </c>
      <c r="C48" s="6" t="n">
        <f aca="false">COUNTIF(Libreria!$B$2:$B$79,"1.5.14")</f>
        <v>1</v>
      </c>
      <c r="D48" s="6" t="str">
        <f aca="false">IF(C48&gt;0,"Trattato",IF(A48="—","Requisito nuovo","Non trattato"))</f>
        <v>Trattato</v>
      </c>
      <c r="E48" s="6" t="s">
        <v>424</v>
      </c>
      <c r="F48" s="7" t="s">
        <v>519</v>
      </c>
      <c r="G48" s="7"/>
    </row>
    <row r="49" customFormat="false" ht="57.75" hidden="false" customHeight="true" outlineLevel="0" collapsed="false">
      <c r="A49" s="6" t="s">
        <v>566</v>
      </c>
      <c r="B49" s="7" t="s">
        <v>567</v>
      </c>
      <c r="C49" s="6" t="n">
        <f aca="false">COUNTIF(Libreria!$B$2:$B$79,"1.5.15")</f>
        <v>0</v>
      </c>
      <c r="D49" s="6" t="str">
        <f aca="false">IF(C49&gt;0,"Trattato",IF(A49="—","Requisito nuovo","Non trattato"))</f>
        <v>Non trattato</v>
      </c>
      <c r="E49" s="6" t="s">
        <v>566</v>
      </c>
      <c r="F49" s="7" t="s">
        <v>519</v>
      </c>
      <c r="G49" s="7" t="s">
        <v>568</v>
      </c>
    </row>
    <row r="50" customFormat="false" ht="57.75" hidden="false" customHeight="true" outlineLevel="0" collapsed="false">
      <c r="A50" s="6" t="s">
        <v>569</v>
      </c>
      <c r="B50" s="7" t="s">
        <v>570</v>
      </c>
      <c r="C50" s="6" t="n">
        <f aca="false">COUNTIF(Libreria!$B$2:$B$79,"1.5.16")</f>
        <v>0</v>
      </c>
      <c r="D50" s="6" t="str">
        <f aca="false">IF(C50&gt;0,"Trattato",IF(A50="—","Requisito nuovo","Non trattato"))</f>
        <v>Non trattato</v>
      </c>
      <c r="E50" s="6" t="s">
        <v>569</v>
      </c>
      <c r="F50" s="7" t="s">
        <v>519</v>
      </c>
      <c r="G50" s="7" t="s">
        <v>529</v>
      </c>
    </row>
    <row r="51" customFormat="false" ht="18" hidden="false" customHeight="true" outlineLevel="0" collapsed="false">
      <c r="A51" s="6" t="s">
        <v>433</v>
      </c>
      <c r="B51" s="7" t="s">
        <v>434</v>
      </c>
      <c r="C51" s="6" t="n">
        <f aca="false">COUNTIF(Libreria!$B$2:$B$79,"1.6.1")</f>
        <v>2</v>
      </c>
      <c r="D51" s="6" t="str">
        <f aca="false">IF(C51&gt;0,"Trattato",IF(A51="—","Requisito nuovo","Non trattato"))</f>
        <v>Trattato</v>
      </c>
      <c r="E51" s="6" t="s">
        <v>433</v>
      </c>
      <c r="F51" s="7" t="s">
        <v>519</v>
      </c>
      <c r="G51" s="7"/>
    </row>
    <row r="52" customFormat="false" ht="57.75" hidden="false" customHeight="true" outlineLevel="0" collapsed="false">
      <c r="A52" s="6" t="s">
        <v>445</v>
      </c>
      <c r="B52" s="7" t="s">
        <v>571</v>
      </c>
      <c r="C52" s="6" t="n">
        <f aca="false">COUNTIF(Libreria!$B$2:$B$79,"1.6.2")</f>
        <v>1</v>
      </c>
      <c r="D52" s="6" t="str">
        <f aca="false">IF(C52&gt;0,"Trattato",IF(A52="—","Requisito nuovo","Non trattato"))</f>
        <v>Trattato</v>
      </c>
      <c r="E52" s="6" t="s">
        <v>445</v>
      </c>
      <c r="F52" s="7" t="s">
        <v>572</v>
      </c>
      <c r="G52" s="7" t="s">
        <v>573</v>
      </c>
    </row>
    <row r="53" customFormat="false" ht="18" hidden="false" customHeight="true" outlineLevel="0" collapsed="false">
      <c r="A53" s="6" t="s">
        <v>453</v>
      </c>
      <c r="B53" s="7" t="s">
        <v>454</v>
      </c>
      <c r="C53" s="6" t="n">
        <f aca="false">COUNTIF(Libreria!$B$2:$B$79,"1.6.3")</f>
        <v>1</v>
      </c>
      <c r="D53" s="6" t="str">
        <f aca="false">IF(C53&gt;0,"Trattato",IF(A53="—","Requisito nuovo","Non trattato"))</f>
        <v>Trattato</v>
      </c>
      <c r="E53" s="6" t="s">
        <v>453</v>
      </c>
      <c r="F53" s="7" t="s">
        <v>519</v>
      </c>
      <c r="G53" s="7"/>
    </row>
    <row r="54" customFormat="false" ht="18" hidden="false" customHeight="true" outlineLevel="0" collapsed="false">
      <c r="A54" s="6" t="s">
        <v>461</v>
      </c>
      <c r="B54" s="7" t="s">
        <v>462</v>
      </c>
      <c r="C54" s="6" t="n">
        <f aca="false">COUNTIF(Libreria!$B$2:$B$79,"1.6.4")</f>
        <v>1</v>
      </c>
      <c r="D54" s="6" t="str">
        <f aca="false">IF(C54&gt;0,"Trattato",IF(A54="—","Requisito nuovo","Non trattato"))</f>
        <v>Trattato</v>
      </c>
      <c r="E54" s="6" t="s">
        <v>461</v>
      </c>
      <c r="F54" s="7" t="s">
        <v>519</v>
      </c>
      <c r="G54" s="7"/>
    </row>
    <row r="55" customFormat="false" ht="57.75" hidden="false" customHeight="true" outlineLevel="0" collapsed="false">
      <c r="A55" s="6" t="s">
        <v>574</v>
      </c>
      <c r="B55" s="7" t="s">
        <v>575</v>
      </c>
      <c r="C55" s="6" t="n">
        <f aca="false">COUNTIF(Libreria!$B$2:$B$79,"1.6.5")</f>
        <v>0</v>
      </c>
      <c r="D55" s="6" t="str">
        <f aca="false">IF(C55&gt;0,"Trattato",IF(A55="—","Requisito nuovo","Non trattato"))</f>
        <v>Non trattato</v>
      </c>
      <c r="E55" s="6" t="s">
        <v>574</v>
      </c>
      <c r="F55" s="7" t="s">
        <v>519</v>
      </c>
      <c r="G55" s="7" t="s">
        <v>576</v>
      </c>
    </row>
    <row r="56" customFormat="false" ht="18" hidden="false" customHeight="true" outlineLevel="0" collapsed="false">
      <c r="A56" s="6" t="s">
        <v>465</v>
      </c>
      <c r="B56" s="7" t="s">
        <v>466</v>
      </c>
      <c r="C56" s="6" t="n">
        <f aca="false">COUNTIF(Libreria!$B$2:$B$79,"1.7.1")</f>
        <v>1</v>
      </c>
      <c r="D56" s="6" t="str">
        <f aca="false">IF(C56&gt;0,"Trattato",IF(A56="—","Requisito nuovo","Non trattato"))</f>
        <v>Trattato</v>
      </c>
      <c r="E56" s="6" t="s">
        <v>465</v>
      </c>
      <c r="F56" s="7" t="s">
        <v>519</v>
      </c>
      <c r="G56" s="7"/>
    </row>
    <row r="57" customFormat="false" ht="18" hidden="false" customHeight="true" outlineLevel="0" collapsed="false">
      <c r="A57" s="6" t="s">
        <v>471</v>
      </c>
      <c r="B57" s="7" t="s">
        <v>472</v>
      </c>
      <c r="C57" s="6" t="n">
        <f aca="false">COUNTIF(Libreria!$B$2:$B$79,"1.7.1.1")</f>
        <v>1</v>
      </c>
      <c r="D57" s="6" t="str">
        <f aca="false">IF(C57&gt;0,"Trattato",IF(A57="—","Requisito nuovo","Non trattato"))</f>
        <v>Trattato</v>
      </c>
      <c r="E57" s="6" t="s">
        <v>471</v>
      </c>
      <c r="F57" s="7" t="s">
        <v>519</v>
      </c>
      <c r="G57" s="7"/>
    </row>
    <row r="58" customFormat="false" ht="18" hidden="false" customHeight="true" outlineLevel="0" collapsed="false">
      <c r="A58" s="6" t="s">
        <v>476</v>
      </c>
      <c r="B58" s="7" t="s">
        <v>477</v>
      </c>
      <c r="C58" s="6" t="n">
        <f aca="false">COUNTIF(Libreria!$B$2:$B$79,"1.7.1.2")</f>
        <v>1</v>
      </c>
      <c r="D58" s="6" t="str">
        <f aca="false">IF(C58&gt;0,"Trattato",IF(A58="—","Requisito nuovo","Non trattato"))</f>
        <v>Trattato</v>
      </c>
      <c r="E58" s="6" t="s">
        <v>476</v>
      </c>
      <c r="F58" s="7" t="s">
        <v>519</v>
      </c>
      <c r="G58" s="7"/>
    </row>
    <row r="59" customFormat="false" ht="18" hidden="false" customHeight="true" outlineLevel="0" collapsed="false">
      <c r="A59" s="6" t="s">
        <v>481</v>
      </c>
      <c r="B59" s="7" t="s">
        <v>482</v>
      </c>
      <c r="C59" s="6" t="n">
        <f aca="false">COUNTIF(Libreria!$B$2:$B$79,"1.7.2")</f>
        <v>1</v>
      </c>
      <c r="D59" s="6" t="str">
        <f aca="false">IF(C59&gt;0,"Trattato",IF(A59="—","Requisito nuovo","Non trattato"))</f>
        <v>Trattato</v>
      </c>
      <c r="E59" s="6" t="s">
        <v>481</v>
      </c>
      <c r="F59" s="7" t="s">
        <v>519</v>
      </c>
      <c r="G59" s="7"/>
    </row>
    <row r="60" customFormat="false" ht="57.75" hidden="false" customHeight="true" outlineLevel="0" collapsed="false">
      <c r="A60" s="6" t="s">
        <v>487</v>
      </c>
      <c r="B60" s="7" t="s">
        <v>488</v>
      </c>
      <c r="C60" s="6" t="n">
        <f aca="false">COUNTIF(Libreria!$B$2:$B$79,"1.7.3")</f>
        <v>1</v>
      </c>
      <c r="D60" s="6" t="str">
        <f aca="false">IF(C60&gt;0,"Trattato",IF(A60="—","Requisito nuovo","Non trattato"))</f>
        <v>Trattato</v>
      </c>
      <c r="E60" s="6" t="s">
        <v>487</v>
      </c>
      <c r="F60" s="7" t="s">
        <v>577</v>
      </c>
      <c r="G60" s="7" t="s">
        <v>578</v>
      </c>
    </row>
    <row r="61" customFormat="false" ht="57.75" hidden="false" customHeight="true" outlineLevel="0" collapsed="false">
      <c r="A61" s="6" t="s">
        <v>492</v>
      </c>
      <c r="B61" s="7" t="s">
        <v>493</v>
      </c>
      <c r="C61" s="6" t="n">
        <f aca="false">COUNTIF(Libreria!$B$2:$B$79,"1.7.4")</f>
        <v>1</v>
      </c>
      <c r="D61" s="6" t="str">
        <f aca="false">IF(C61&gt;0,"Trattato",IF(A61="—","Requisito nuovo","Non trattato"))</f>
        <v>Trattato</v>
      </c>
      <c r="E61" s="6" t="s">
        <v>492</v>
      </c>
      <c r="F61" s="7" t="s">
        <v>579</v>
      </c>
      <c r="G61" s="7" t="s">
        <v>580</v>
      </c>
    </row>
    <row r="62" customFormat="false" ht="18" hidden="false" customHeight="true" outlineLevel="0" collapsed="false">
      <c r="A62" s="6" t="s">
        <v>496</v>
      </c>
      <c r="B62" s="7" t="s">
        <v>497</v>
      </c>
      <c r="C62" s="6" t="n">
        <f aca="false">COUNTIF(Libreria!$B$2:$B$79,"1.7.4.1")</f>
        <v>1</v>
      </c>
      <c r="D62" s="6" t="str">
        <f aca="false">IF(C62&gt;0,"Trattato",IF(A62="—","Requisito nuovo","Non trattato"))</f>
        <v>Trattato</v>
      </c>
      <c r="E62" s="6" t="s">
        <v>496</v>
      </c>
      <c r="F62" s="7" t="s">
        <v>519</v>
      </c>
      <c r="G62" s="7"/>
    </row>
    <row r="63" customFormat="false" ht="57.75" hidden="false" customHeight="true" outlineLevel="0" collapsed="false">
      <c r="A63" s="6" t="s">
        <v>500</v>
      </c>
      <c r="B63" s="7" t="s">
        <v>501</v>
      </c>
      <c r="C63" s="6" t="n">
        <f aca="false">COUNTIF(Libreria!$B$2:$B$79,"1.7.4.2")</f>
        <v>1</v>
      </c>
      <c r="D63" s="6" t="str">
        <f aca="false">IF(C63&gt;0,"Trattato",IF(A63="—","Requisito nuovo","Non trattato"))</f>
        <v>Trattato</v>
      </c>
      <c r="E63" s="6" t="s">
        <v>500</v>
      </c>
      <c r="F63" s="7" t="s">
        <v>581</v>
      </c>
      <c r="G63" s="7" t="s">
        <v>582</v>
      </c>
    </row>
    <row r="64" customFormat="false" ht="57.75" hidden="false" customHeight="true" outlineLevel="0" collapsed="false">
      <c r="A64" s="6" t="s">
        <v>583</v>
      </c>
      <c r="B64" s="7" t="s">
        <v>584</v>
      </c>
      <c r="C64" s="6" t="n">
        <f aca="false">COUNTIF(Libreria!$B$2:$B$79,"1.7.4.3")</f>
        <v>0</v>
      </c>
      <c r="D64" s="6" t="str">
        <f aca="false">IF(C64&gt;0,"Trattato",IF(A64="—","Requisito nuovo","Non trattato"))</f>
        <v>Non trattato</v>
      </c>
      <c r="E64" s="6" t="s">
        <v>583</v>
      </c>
      <c r="F64" s="7" t="s">
        <v>519</v>
      </c>
      <c r="G64" s="7" t="s">
        <v>585</v>
      </c>
    </row>
  </sheetData>
  <autoFilter ref="A1:G64"/>
  <conditionalFormatting sqref="D2:D64">
    <cfRule type="cellIs" priority="2" operator="equal" aboveAverage="0" equalAverage="0" bottom="0" percent="0" rank="0" text="" dxfId="9">
      <formula>"Non trattato"</formula>
    </cfRule>
    <cfRule type="cellIs" priority="3" operator="equal" aboveAverage="0" equalAverage="0" bottom="0" percent="0" rank="0" text="" dxfId="8">
      <formula>"Requisito nuovo"</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2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0"/>
    <col collapsed="false" customWidth="true" hidden="false" outlineLevel="0" max="2" min="2" style="0" width="14"/>
    <col collapsed="false" customWidth="true" hidden="false" outlineLevel="0" max="3" min="3" style="0" width="52"/>
    <col collapsed="false" customWidth="true" hidden="false" outlineLevel="0" max="4" min="4" style="0" width="16"/>
    <col collapsed="false" customWidth="true" hidden="false" outlineLevel="0" max="5" min="5" style="0" width="50"/>
  </cols>
  <sheetData>
    <row r="1" customFormat="false" ht="42" hidden="false" customHeight="true" outlineLevel="0" collapsed="false">
      <c r="A1" s="5" t="s">
        <v>586</v>
      </c>
      <c r="B1" s="5" t="s">
        <v>587</v>
      </c>
      <c r="C1" s="5" t="s">
        <v>588</v>
      </c>
      <c r="D1" s="5" t="s">
        <v>589</v>
      </c>
      <c r="E1" s="5" t="s">
        <v>590</v>
      </c>
    </row>
    <row r="2" customFormat="false" ht="30" hidden="false" customHeight="true" outlineLevel="0" collapsed="false">
      <c r="A2" s="7" t="s">
        <v>591</v>
      </c>
      <c r="B2" s="6" t="s">
        <v>592</v>
      </c>
      <c r="C2" s="7" t="s">
        <v>593</v>
      </c>
      <c r="D2" s="6" t="s">
        <v>592</v>
      </c>
      <c r="E2" s="7"/>
    </row>
    <row r="3" customFormat="false" ht="30" hidden="false" customHeight="true" outlineLevel="0" collapsed="false">
      <c r="A3" s="7" t="s">
        <v>594</v>
      </c>
      <c r="B3" s="6" t="s">
        <v>592</v>
      </c>
      <c r="C3" s="7" t="s">
        <v>595</v>
      </c>
      <c r="D3" s="6" t="s">
        <v>596</v>
      </c>
      <c r="E3" s="7"/>
    </row>
    <row r="4" customFormat="false" ht="30" hidden="false" customHeight="true" outlineLevel="0" collapsed="false">
      <c r="A4" s="7" t="s">
        <v>597</v>
      </c>
      <c r="B4" s="6" t="s">
        <v>598</v>
      </c>
      <c r="C4" s="7" t="s">
        <v>599</v>
      </c>
      <c r="D4" s="6" t="s">
        <v>600</v>
      </c>
      <c r="E4" s="7" t="s">
        <v>601</v>
      </c>
    </row>
    <row r="5" customFormat="false" ht="30" hidden="false" customHeight="true" outlineLevel="0" collapsed="false">
      <c r="A5" s="7" t="s">
        <v>602</v>
      </c>
      <c r="B5" s="6" t="s">
        <v>603</v>
      </c>
      <c r="C5" s="7" t="s">
        <v>604</v>
      </c>
      <c r="D5" s="6" t="s">
        <v>605</v>
      </c>
      <c r="E5" s="7" t="s">
        <v>606</v>
      </c>
    </row>
    <row r="6" customFormat="false" ht="30" hidden="false" customHeight="true" outlineLevel="0" collapsed="false">
      <c r="A6" s="7" t="s">
        <v>607</v>
      </c>
      <c r="B6" s="6" t="s">
        <v>608</v>
      </c>
      <c r="C6" s="7" t="s">
        <v>609</v>
      </c>
      <c r="D6" s="6" t="s">
        <v>608</v>
      </c>
      <c r="E6" s="7"/>
    </row>
    <row r="7" customFormat="false" ht="30" hidden="false" customHeight="true" outlineLevel="0" collapsed="false">
      <c r="A7" s="7" t="s">
        <v>610</v>
      </c>
      <c r="B7" s="6" t="s">
        <v>603</v>
      </c>
      <c r="C7" s="7" t="s">
        <v>148</v>
      </c>
      <c r="D7" s="6" t="s">
        <v>603</v>
      </c>
      <c r="E7" s="7"/>
    </row>
    <row r="8" customFormat="false" ht="30" hidden="false" customHeight="true" outlineLevel="0" collapsed="false">
      <c r="A8" s="7" t="s">
        <v>611</v>
      </c>
      <c r="B8" s="6" t="s">
        <v>612</v>
      </c>
      <c r="C8" s="7" t="s">
        <v>613</v>
      </c>
      <c r="D8" s="6" t="s">
        <v>612</v>
      </c>
      <c r="E8" s="7"/>
    </row>
    <row r="9" customFormat="false" ht="30" hidden="false" customHeight="true" outlineLevel="0" collapsed="false">
      <c r="A9" s="7" t="s">
        <v>614</v>
      </c>
      <c r="B9" s="6" t="s">
        <v>592</v>
      </c>
      <c r="C9" s="7" t="s">
        <v>615</v>
      </c>
      <c r="D9" s="6" t="s">
        <v>616</v>
      </c>
      <c r="E9" s="7" t="s">
        <v>606</v>
      </c>
    </row>
    <row r="10" customFormat="false" ht="30" hidden="false" customHeight="true" outlineLevel="0" collapsed="false">
      <c r="A10" s="7" t="s">
        <v>617</v>
      </c>
      <c r="B10" s="6" t="s">
        <v>618</v>
      </c>
      <c r="C10" s="7" t="s">
        <v>619</v>
      </c>
      <c r="D10" s="6" t="s">
        <v>612</v>
      </c>
      <c r="E10" s="7" t="s">
        <v>606</v>
      </c>
    </row>
    <row r="11" customFormat="false" ht="30" hidden="false" customHeight="true" outlineLevel="0" collapsed="false">
      <c r="A11" s="7" t="s">
        <v>620</v>
      </c>
      <c r="B11" s="6" t="s">
        <v>621</v>
      </c>
      <c r="C11" s="7" t="s">
        <v>622</v>
      </c>
      <c r="D11" s="6" t="s">
        <v>621</v>
      </c>
      <c r="E11" s="7"/>
    </row>
    <row r="12" customFormat="false" ht="30" hidden="false" customHeight="true" outlineLevel="0" collapsed="false">
      <c r="A12" s="7" t="s">
        <v>623</v>
      </c>
      <c r="B12" s="6" t="s">
        <v>624</v>
      </c>
      <c r="C12" s="7" t="s">
        <v>625</v>
      </c>
      <c r="D12" s="6" t="s">
        <v>600</v>
      </c>
      <c r="E12" s="7" t="s">
        <v>606</v>
      </c>
    </row>
    <row r="13" customFormat="false" ht="30" hidden="false" customHeight="true" outlineLevel="0" collapsed="false">
      <c r="A13" s="7" t="s">
        <v>626</v>
      </c>
      <c r="B13" s="6" t="s">
        <v>603</v>
      </c>
      <c r="C13" s="7" t="s">
        <v>627</v>
      </c>
      <c r="D13" s="6" t="s">
        <v>603</v>
      </c>
      <c r="E13" s="7"/>
    </row>
    <row r="14" customFormat="false" ht="30" hidden="false" customHeight="true" outlineLevel="0" collapsed="false">
      <c r="A14" s="7" t="s">
        <v>628</v>
      </c>
      <c r="B14" s="6" t="s">
        <v>592</v>
      </c>
      <c r="C14" s="7" t="s">
        <v>629</v>
      </c>
      <c r="D14" s="6" t="s">
        <v>592</v>
      </c>
      <c r="E14" s="7"/>
    </row>
    <row r="15" customFormat="false" ht="30" hidden="false" customHeight="true" outlineLevel="0" collapsed="false">
      <c r="A15" s="7" t="s">
        <v>630</v>
      </c>
      <c r="B15" s="6" t="s">
        <v>621</v>
      </c>
      <c r="C15" s="7" t="s">
        <v>631</v>
      </c>
      <c r="D15" s="6" t="s">
        <v>621</v>
      </c>
      <c r="E15" s="7"/>
    </row>
    <row r="16" customFormat="false" ht="30" hidden="false" customHeight="true" outlineLevel="0" collapsed="false">
      <c r="A16" s="7" t="s">
        <v>632</v>
      </c>
      <c r="B16" s="6" t="s">
        <v>598</v>
      </c>
      <c r="C16" s="7" t="s">
        <v>633</v>
      </c>
      <c r="D16" s="6" t="s">
        <v>634</v>
      </c>
      <c r="E16" s="7" t="s">
        <v>606</v>
      </c>
    </row>
    <row r="17" customFormat="false" ht="30" hidden="false" customHeight="true" outlineLevel="0" collapsed="false">
      <c r="A17" s="7" t="s">
        <v>635</v>
      </c>
      <c r="B17" s="6" t="s">
        <v>636</v>
      </c>
      <c r="C17" s="7" t="s">
        <v>637</v>
      </c>
      <c r="D17" s="6" t="s">
        <v>638</v>
      </c>
      <c r="E17" s="7" t="s">
        <v>639</v>
      </c>
    </row>
    <row r="18" customFormat="false" ht="30" hidden="false" customHeight="true" outlineLevel="0" collapsed="false">
      <c r="A18" s="7" t="s">
        <v>640</v>
      </c>
      <c r="B18" s="6" t="s">
        <v>612</v>
      </c>
      <c r="C18" s="7" t="s">
        <v>641</v>
      </c>
      <c r="D18" s="6" t="s">
        <v>612</v>
      </c>
      <c r="E18" s="7"/>
    </row>
    <row r="19" customFormat="false" ht="30" hidden="false" customHeight="true" outlineLevel="0" collapsed="false">
      <c r="A19" s="7" t="s">
        <v>642</v>
      </c>
      <c r="B19" s="6" t="s">
        <v>643</v>
      </c>
      <c r="C19" s="7" t="s">
        <v>644</v>
      </c>
      <c r="D19" s="6" t="s">
        <v>608</v>
      </c>
      <c r="E19" s="7" t="s">
        <v>645</v>
      </c>
    </row>
    <row r="21" customFormat="false" ht="61.5" hidden="false" customHeight="true" outlineLevel="0" collapsed="false">
      <c r="A21" s="11" t="s">
        <v>646</v>
      </c>
      <c r="B21" s="11"/>
      <c r="C21" s="11"/>
      <c r="D21" s="11"/>
      <c r="E21" s="11"/>
    </row>
  </sheetData>
  <mergeCells count="1">
    <mergeCell ref="A21:E2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30"/>
    <col collapsed="false" customWidth="true" hidden="false" outlineLevel="0" max="3" min="3" style="0" width="70"/>
    <col collapsed="false" customWidth="true" hidden="false" outlineLevel="0" max="4" min="4" style="0" width="60"/>
    <col collapsed="false" customWidth="true" hidden="false" outlineLevel="0" max="5" min="5" style="0" width="40"/>
  </cols>
  <sheetData>
    <row r="1" customFormat="false" ht="42" hidden="false" customHeight="true" outlineLevel="0" collapsed="false">
      <c r="A1" s="5" t="s">
        <v>647</v>
      </c>
      <c r="B1" s="5" t="s">
        <v>648</v>
      </c>
      <c r="C1" s="5" t="s">
        <v>649</v>
      </c>
      <c r="D1" s="5" t="s">
        <v>650</v>
      </c>
      <c r="E1" s="5" t="s">
        <v>651</v>
      </c>
    </row>
    <row r="2" customFormat="false" ht="61.5" hidden="false" customHeight="true" outlineLevel="0" collapsed="false">
      <c r="A2" s="6" t="n">
        <v>1</v>
      </c>
      <c r="B2" s="7" t="s">
        <v>652</v>
      </c>
      <c r="C2" s="7" t="s">
        <v>653</v>
      </c>
      <c r="D2" s="7" t="s">
        <v>654</v>
      </c>
      <c r="E2" s="8"/>
    </row>
    <row r="3" customFormat="false" ht="61.5" hidden="false" customHeight="true" outlineLevel="0" collapsed="false">
      <c r="A3" s="6" t="n">
        <v>2</v>
      </c>
      <c r="B3" s="7" t="s">
        <v>655</v>
      </c>
      <c r="C3" s="7" t="s">
        <v>656</v>
      </c>
      <c r="D3" s="7" t="s">
        <v>657</v>
      </c>
      <c r="E3" s="8"/>
    </row>
    <row r="4" customFormat="false" ht="61.5" hidden="false" customHeight="true" outlineLevel="0" collapsed="false">
      <c r="A4" s="6" t="n">
        <v>3</v>
      </c>
      <c r="B4" s="7" t="s">
        <v>658</v>
      </c>
      <c r="C4" s="7" t="s">
        <v>659</v>
      </c>
      <c r="D4" s="7" t="s">
        <v>660</v>
      </c>
      <c r="E4" s="8"/>
    </row>
    <row r="5" customFormat="false" ht="61.5" hidden="false" customHeight="true" outlineLevel="0" collapsed="false">
      <c r="A5" s="6" t="n">
        <v>4</v>
      </c>
      <c r="B5" s="7" t="s">
        <v>661</v>
      </c>
      <c r="C5" s="7" t="s">
        <v>662</v>
      </c>
      <c r="D5" s="7" t="s">
        <v>663</v>
      </c>
      <c r="E5" s="8"/>
    </row>
    <row r="6" customFormat="false" ht="61.5" hidden="false" customHeight="true" outlineLevel="0" collapsed="false">
      <c r="A6" s="6" t="n">
        <v>5</v>
      </c>
      <c r="B6" s="7" t="s">
        <v>664</v>
      </c>
      <c r="C6" s="7" t="s">
        <v>665</v>
      </c>
      <c r="D6" s="7" t="s">
        <v>666</v>
      </c>
      <c r="E6" s="8"/>
    </row>
    <row r="7" customFormat="false" ht="61.5" hidden="false" customHeight="true" outlineLevel="0" collapsed="false">
      <c r="A7" s="6" t="n">
        <v>6</v>
      </c>
      <c r="B7" s="7" t="s">
        <v>667</v>
      </c>
      <c r="C7" s="7" t="s">
        <v>668</v>
      </c>
      <c r="D7" s="7" t="s">
        <v>669</v>
      </c>
      <c r="E7" s="8"/>
    </row>
    <row r="8" customFormat="false" ht="61.5" hidden="false" customHeight="true" outlineLevel="0" collapsed="false">
      <c r="A8" s="6" t="n">
        <v>7</v>
      </c>
      <c r="B8" s="7" t="s">
        <v>670</v>
      </c>
      <c r="C8" s="7" t="s">
        <v>671</v>
      </c>
      <c r="D8" s="7" t="s">
        <v>672</v>
      </c>
      <c r="E8" s="8"/>
    </row>
    <row r="9" customFormat="false" ht="61.5" hidden="false" customHeight="true" outlineLevel="0" collapsed="false">
      <c r="A9" s="6" t="n">
        <v>8</v>
      </c>
      <c r="B9" s="7" t="s">
        <v>673</v>
      </c>
      <c r="C9" s="7" t="s">
        <v>674</v>
      </c>
      <c r="D9" s="7" t="s">
        <v>675</v>
      </c>
      <c r="E9" s="8"/>
    </row>
    <row r="10" customFormat="false" ht="61.5" hidden="false" customHeight="true" outlineLevel="0" collapsed="false">
      <c r="A10" s="6" t="n">
        <v>9</v>
      </c>
      <c r="B10" s="7" t="s">
        <v>676</v>
      </c>
      <c r="C10" s="7" t="s">
        <v>677</v>
      </c>
      <c r="D10" s="7" t="s">
        <v>678</v>
      </c>
      <c r="E10" s="8"/>
    </row>
    <row r="11" customFormat="false" ht="61.5" hidden="false" customHeight="true" outlineLevel="0" collapsed="false">
      <c r="A11" s="6" t="n">
        <v>10</v>
      </c>
      <c r="B11" s="7" t="s">
        <v>679</v>
      </c>
      <c r="C11" s="7" t="s">
        <v>680</v>
      </c>
      <c r="D11" s="7" t="s">
        <v>681</v>
      </c>
      <c r="E11" s="8"/>
    </row>
    <row r="12" customFormat="false" ht="61.5" hidden="false" customHeight="true" outlineLevel="0" collapsed="false">
      <c r="A12" s="6" t="n">
        <v>11</v>
      </c>
      <c r="B12" s="7" t="s">
        <v>682</v>
      </c>
      <c r="C12" s="7" t="s">
        <v>683</v>
      </c>
      <c r="D12" s="7" t="s">
        <v>684</v>
      </c>
      <c r="E12" s="8"/>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3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4"/>
    <col collapsed="false" customWidth="true" hidden="false" outlineLevel="0" max="2" min="2" style="0" width="8"/>
    <col collapsed="false" customWidth="true" hidden="false" outlineLevel="0" max="7" min="3" style="0" width="14"/>
  </cols>
  <sheetData>
    <row r="1" customFormat="false" ht="15" hidden="false" customHeight="false" outlineLevel="0" collapsed="false">
      <c r="A1" s="12" t="s">
        <v>685</v>
      </c>
    </row>
    <row r="3" customFormat="false" ht="15" hidden="false" customHeight="false" outlineLevel="0" collapsed="false">
      <c r="A3" s="13" t="s">
        <v>686</v>
      </c>
    </row>
    <row r="4" customFormat="false" ht="15" hidden="false" customHeight="false" outlineLevel="0" collapsed="false">
      <c r="A4" s="14"/>
      <c r="B4" s="14" t="s">
        <v>687</v>
      </c>
      <c r="C4" s="14" t="s">
        <v>688</v>
      </c>
      <c r="D4" s="14" t="s">
        <v>689</v>
      </c>
      <c r="E4" s="14" t="s">
        <v>690</v>
      </c>
      <c r="F4" s="14" t="s">
        <v>691</v>
      </c>
      <c r="G4" s="14" t="s">
        <v>692</v>
      </c>
    </row>
    <row r="5" customFormat="false" ht="15" hidden="false" customHeight="false" outlineLevel="0" collapsed="false">
      <c r="A5" s="15" t="s">
        <v>693</v>
      </c>
      <c r="C5" s="6" t="n">
        <v>3</v>
      </c>
      <c r="D5" s="6" t="n">
        <v>5</v>
      </c>
      <c r="E5" s="6" t="n">
        <v>8</v>
      </c>
      <c r="F5" s="6" t="n">
        <v>11</v>
      </c>
      <c r="G5" s="6" t="n">
        <v>14</v>
      </c>
    </row>
    <row r="6" customFormat="false" ht="15" hidden="false" customHeight="false" outlineLevel="0" collapsed="false">
      <c r="A6" s="15" t="s">
        <v>694</v>
      </c>
      <c r="B6" s="10" t="n">
        <v>4</v>
      </c>
      <c r="C6" s="16" t="s">
        <v>695</v>
      </c>
      <c r="D6" s="17" t="s">
        <v>696</v>
      </c>
      <c r="E6" s="17" t="s">
        <v>696</v>
      </c>
      <c r="F6" s="18" t="s">
        <v>696</v>
      </c>
      <c r="G6" s="17" t="s">
        <v>696</v>
      </c>
    </row>
    <row r="7" customFormat="false" ht="15" hidden="false" customHeight="false" outlineLevel="0" collapsed="false">
      <c r="A7" s="15" t="s">
        <v>697</v>
      </c>
      <c r="B7" s="10" t="n">
        <v>3</v>
      </c>
      <c r="C7" s="19" t="s">
        <v>698</v>
      </c>
      <c r="D7" s="16" t="s">
        <v>695</v>
      </c>
      <c r="E7" s="18" t="s">
        <v>696</v>
      </c>
      <c r="F7" s="18" t="s">
        <v>696</v>
      </c>
      <c r="G7" s="17" t="s">
        <v>696</v>
      </c>
    </row>
    <row r="8" customFormat="false" ht="15" hidden="false" customHeight="false" outlineLevel="0" collapsed="false">
      <c r="A8" s="15" t="s">
        <v>699</v>
      </c>
      <c r="B8" s="10" t="n">
        <v>2</v>
      </c>
      <c r="C8" s="19" t="s">
        <v>698</v>
      </c>
      <c r="D8" s="19" t="s">
        <v>698</v>
      </c>
      <c r="E8" s="16" t="s">
        <v>695</v>
      </c>
      <c r="F8" s="18" t="s">
        <v>696</v>
      </c>
      <c r="G8" s="18" t="s">
        <v>696</v>
      </c>
    </row>
    <row r="9" customFormat="false" ht="15" hidden="false" customHeight="false" outlineLevel="0" collapsed="false">
      <c r="A9" s="15" t="s">
        <v>700</v>
      </c>
      <c r="B9" s="10" t="n">
        <v>1</v>
      </c>
      <c r="C9" s="20" t="s">
        <v>698</v>
      </c>
      <c r="D9" s="19" t="s">
        <v>698</v>
      </c>
      <c r="E9" s="19" t="s">
        <v>698</v>
      </c>
      <c r="F9" s="16" t="s">
        <v>695</v>
      </c>
      <c r="G9" s="17" t="s">
        <v>696</v>
      </c>
    </row>
    <row r="11" customFormat="false" ht="15" hidden="false" customHeight="false" outlineLevel="0" collapsed="false">
      <c r="A11" s="15" t="s">
        <v>701</v>
      </c>
    </row>
    <row r="12" customFormat="false" ht="15" hidden="false" customHeight="false" outlineLevel="0" collapsed="false">
      <c r="A12" s="21" t="s">
        <v>702</v>
      </c>
    </row>
    <row r="14" customFormat="false" ht="15" hidden="false" customHeight="false" outlineLevel="0" collapsed="false">
      <c r="A14" s="13" t="s">
        <v>703</v>
      </c>
    </row>
    <row r="15" customFormat="false" ht="15" hidden="false" customHeight="false" outlineLevel="0" collapsed="false">
      <c r="A15" s="13" t="s">
        <v>704</v>
      </c>
      <c r="B15" s="22" t="n">
        <v>4</v>
      </c>
      <c r="C15" s="15" t="s">
        <v>705</v>
      </c>
    </row>
    <row r="16" customFormat="false" ht="15" hidden="false" customHeight="false" outlineLevel="0" collapsed="false">
      <c r="A16" s="13"/>
      <c r="B16" s="22" t="n">
        <v>3</v>
      </c>
      <c r="C16" s="15" t="s">
        <v>706</v>
      </c>
    </row>
    <row r="17" customFormat="false" ht="15" hidden="false" customHeight="false" outlineLevel="0" collapsed="false">
      <c r="A17" s="13"/>
      <c r="B17" s="22" t="n">
        <v>2</v>
      </c>
      <c r="C17" s="15" t="s">
        <v>707</v>
      </c>
    </row>
    <row r="18" customFormat="false" ht="15" hidden="false" customHeight="false" outlineLevel="0" collapsed="false">
      <c r="A18" s="13"/>
      <c r="B18" s="22" t="n">
        <v>1</v>
      </c>
      <c r="C18" s="15" t="s">
        <v>700</v>
      </c>
    </row>
    <row r="19" customFormat="false" ht="15" hidden="false" customHeight="false" outlineLevel="0" collapsed="false">
      <c r="A19" s="13" t="s">
        <v>708</v>
      </c>
      <c r="B19" s="22" t="n">
        <v>5</v>
      </c>
      <c r="C19" s="15" t="s">
        <v>709</v>
      </c>
    </row>
    <row r="20" customFormat="false" ht="15" hidden="false" customHeight="false" outlineLevel="0" collapsed="false">
      <c r="A20" s="13"/>
      <c r="B20" s="22" t="n">
        <v>5</v>
      </c>
      <c r="C20" s="15" t="s">
        <v>710</v>
      </c>
    </row>
    <row r="21" customFormat="false" ht="15" hidden="false" customHeight="false" outlineLevel="0" collapsed="false">
      <c r="A21" s="13"/>
      <c r="B21" s="22" t="n">
        <v>4</v>
      </c>
      <c r="C21" s="15" t="s">
        <v>711</v>
      </c>
    </row>
    <row r="22" customFormat="false" ht="15" hidden="false" customHeight="false" outlineLevel="0" collapsed="false">
      <c r="A22" s="13"/>
      <c r="B22" s="22" t="n">
        <v>3</v>
      </c>
      <c r="C22" s="15" t="s">
        <v>712</v>
      </c>
    </row>
    <row r="23" customFormat="false" ht="15" hidden="false" customHeight="false" outlineLevel="0" collapsed="false">
      <c r="A23" s="13"/>
      <c r="B23" s="22" t="n">
        <v>2</v>
      </c>
      <c r="C23" s="15" t="s">
        <v>713</v>
      </c>
    </row>
    <row r="24" customFormat="false" ht="15" hidden="false" customHeight="false" outlineLevel="0" collapsed="false">
      <c r="A24" s="13" t="s">
        <v>714</v>
      </c>
      <c r="B24" s="22" t="n">
        <v>5</v>
      </c>
      <c r="C24" s="15" t="s">
        <v>715</v>
      </c>
    </row>
    <row r="25" customFormat="false" ht="15" hidden="false" customHeight="false" outlineLevel="0" collapsed="false">
      <c r="A25" s="13"/>
      <c r="B25" s="22" t="n">
        <v>4</v>
      </c>
      <c r="C25" s="15" t="s">
        <v>716</v>
      </c>
    </row>
    <row r="26" customFormat="false" ht="15" hidden="false" customHeight="false" outlineLevel="0" collapsed="false">
      <c r="A26" s="13"/>
      <c r="B26" s="22" t="n">
        <v>3</v>
      </c>
      <c r="C26" s="15" t="s">
        <v>717</v>
      </c>
    </row>
    <row r="27" customFormat="false" ht="15" hidden="false" customHeight="false" outlineLevel="0" collapsed="false">
      <c r="A27" s="13"/>
      <c r="B27" s="22" t="n">
        <v>2</v>
      </c>
      <c r="C27" s="15" t="s">
        <v>718</v>
      </c>
    </row>
    <row r="28" customFormat="false" ht="15" hidden="false" customHeight="false" outlineLevel="0" collapsed="false">
      <c r="A28" s="13"/>
      <c r="B28" s="22" t="n">
        <v>1</v>
      </c>
      <c r="C28" s="15" t="s">
        <v>719</v>
      </c>
    </row>
    <row r="29" customFormat="false" ht="15" hidden="false" customHeight="false" outlineLevel="0" collapsed="false">
      <c r="A29" s="13" t="s">
        <v>720</v>
      </c>
      <c r="B29" s="22" t="n">
        <v>5</v>
      </c>
      <c r="C29" s="15" t="s">
        <v>721</v>
      </c>
    </row>
    <row r="30" customFormat="false" ht="15" hidden="false" customHeight="false" outlineLevel="0" collapsed="false">
      <c r="A30" s="13"/>
      <c r="B30" s="22" t="n">
        <v>3</v>
      </c>
      <c r="C30" s="15" t="s">
        <v>717</v>
      </c>
    </row>
    <row r="31" customFormat="false" ht="15" hidden="false" customHeight="false" outlineLevel="0" collapsed="false">
      <c r="A31" s="13"/>
      <c r="B31" s="22" t="n">
        <v>1</v>
      </c>
      <c r="C31" s="15" t="s">
        <v>716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2026-10-05T06:38:24Z</dcterms:created>
  <dc:creator>openpyxl</dc:creator>
  <dc:description/>
  <dc:language>en-US</dc:language>
  <cp:lastModifiedBy/>
  <dcterms:modified xsi:type="dcterms:W3CDTF">2026-10-05T06:38:24Z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